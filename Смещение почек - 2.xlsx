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9281FD2-123C-4E99-8F01-D760AA786319}" xr6:coauthVersionLast="47" xr6:coauthVersionMax="47" xr10:uidLastSave="{00000000-0000-0000-0000-000000000000}"/>
  <bookViews>
    <workbookView xWindow="105" yWindow="0" windowWidth="19350" windowHeight="20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28" i="1" l="1"/>
  <c r="CV28" i="1"/>
  <c r="CY28" i="1"/>
  <c r="CZ28" i="1"/>
  <c r="CW28" i="1"/>
  <c r="CX28" i="1"/>
  <c r="CQ28" i="1"/>
  <c r="CR28" i="1"/>
  <c r="CS28" i="1"/>
  <c r="CT28" i="1"/>
  <c r="CO28" i="1"/>
  <c r="CP28" i="1"/>
  <c r="CK28" i="1"/>
  <c r="CL28" i="1"/>
  <c r="CI28" i="1"/>
  <c r="CJ28" i="1"/>
  <c r="CE28" i="1"/>
  <c r="CF28" i="1"/>
  <c r="CC28" i="1"/>
  <c r="CD28" i="1"/>
  <c r="CM28" i="1"/>
  <c r="CN28" i="1"/>
  <c r="CG28" i="1"/>
  <c r="CH28" i="1"/>
  <c r="CA28" i="1"/>
  <c r="CB28" i="1"/>
  <c r="BY28" i="1"/>
  <c r="BZ28" i="1"/>
  <c r="EH27" i="1" l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X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Mayo Adhesive Probability (MAP) Score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O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Mayo Adhesive Probability (MAP) Score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G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Mayo Adhesive Probability (MAP) Score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4" authorId="0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R4" authorId="0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4" authorId="0" shapeId="0" xr:uid="{00000000-0006-0000-0000-000006000000}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T4" authorId="0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U4" authorId="0" shapeId="0" xr:uid="{00000000-0006-0000-0000-000008000000}">
      <text>
        <r>
          <rPr>
            <sz val="9"/>
            <color indexed="81"/>
            <rFont val="Tahoma"/>
            <family val="2"/>
            <charset val="204"/>
          </rPr>
          <t xml:space="preserve">Угол между вектором артерии и осью аорты (Z).
</t>
        </r>
      </text>
    </comment>
    <comment ref="V4" authorId="0" shapeId="0" xr:uid="{00000000-0006-0000-0000-000009000000}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W4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Передняя паранефральная клетчатка: расстояние от передней капсулы почки до фасции Герота (в месте входа почечной вены), либо расстояние до ближайшей висцеральной структуры (кишечника)
Боковая паранефральная клетчатка: расстояние от нижнего полюса печени (справа) или селезенки (слева) до латеральной поверхности почки
Задняя паранефральная клетчатка: расстояние от задней капсулы почки до задней брюшной стенки (заднего листка фасции Герота)
Пациенты с паранефральной клетчаткой менее 11–12 мм в любом из трех направлений имеют значительно повышенный риск непредсказуемого смещения почки во время процедур. В многофакторном анализе паранефральная клетчатка является независимым предиктором смещения (OR = 2.067, p = 0.009).
</t>
        </r>
      </text>
    </comment>
    <comment ref="AH4" authorId="0" shapeId="0" xr:uid="{00000000-0006-0000-0000-00000B000000}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AI4" authorId="0" shapeId="0" xr:uid="{00000000-0006-0000-0000-00000C000000}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J4" authorId="0" shapeId="0" xr:uid="{00000000-0006-0000-0000-00000D000000}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AK4" authorId="0" shapeId="0" xr:uid="{00000000-0006-0000-0000-00000E000000}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AL4" authorId="0" shapeId="0" xr:uid="{00000000-0006-0000-0000-00000F000000}">
      <text>
        <r>
          <rPr>
            <sz val="9"/>
            <color indexed="81"/>
            <rFont val="Tahoma"/>
            <family val="2"/>
            <charset val="204"/>
          </rPr>
          <t xml:space="preserve">Угол между вектором артерии и осью аорты (Z).
</t>
        </r>
      </text>
    </comment>
    <comment ref="AM4" authorId="0" shapeId="0" xr:uid="{00000000-0006-0000-0000-000010000000}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AN4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Передняя паранефральная клетчатка: расстояние от передней капсулы почки до фасции Герота (в месте входа почечной вены), либо расстояние до ближайшей висцеральной структуры (кишечника)
Боковая паранефральная клетчатка: расстояние от нижнего полюса печени (справа) или селезенки (слева) до латеральной поверхности почки
Задняя паранефральная клетчатка: расстояние от задней капсулы почки до задней брюшной стенки (заднего листка фасции Герота)
Пациенты с паранефральной клетчаткой менее 11–12 мм в любом из трех направлений имеют значительно повышенный риск непредсказуемого смещения почки во время процедур. В многофакторном анализе паранефральная клетчатка является независимым предиктором смещения (OR = 2.067, p = 0.009).
</t>
        </r>
      </text>
    </comment>
    <comment ref="AZ4" authorId="0" shapeId="0" xr:uid="{00000000-0006-0000-0000-000012000000}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BA4" authorId="0" shapeId="0" xr:uid="{00000000-0006-0000-0000-000013000000}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B4" authorId="0" shapeId="0" xr:uid="{00000000-0006-0000-0000-000014000000}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BC4" authorId="0" shapeId="0" xr:uid="{00000000-0006-0000-0000-000015000000}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BE4" authorId="0" shapeId="0" xr:uid="{00000000-0006-0000-0000-000016000000}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BF4" authorId="0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Передняя паранефральная клетчатка: расстояние от передней капсулы почки до фасции Герота (в месте входа почечной вены), либо расстояние до ближайшей висцеральной структуры (кишечника)
Боковая паранефральная клетчатка: расстояние от нижнего полюса печени (справа) или селезенки (слева) до латеральной поверхности почки
Задняя паранефральная клетчатка: расстояние от задней капсулы почки до задней брюшной стенки (заднего листка фасции Герота)
Пациенты с паранефральной клетчаткой менее 11–12 мм в любом из трех направлений имеют значительно повышенный риск непредсказуемого смещения почки во время процедур. В многофакторном анализе паранефральная клетчатка является независимым предиктором смещения (OR = 2.067, p = 0.009).
</t>
        </r>
      </text>
    </comment>
    <comment ref="BQ4" authorId="0" shapeId="0" xr:uid="{00000000-0006-0000-0000-000018000000}">
      <text>
        <r>
          <rPr>
            <sz val="9"/>
            <color indexed="81"/>
            <rFont val="Tahoma"/>
            <family val="2"/>
            <charset val="204"/>
          </rPr>
          <t>Вращение вокруг продольной оси почки (ворота поворачиваются дорсально или вентрально)</t>
        </r>
      </text>
    </comment>
    <comment ref="BR4" authorId="0" shapeId="0" xr:uid="{00000000-0006-0000-0000-000019000000}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4" authorId="0" shapeId="0" xr:uid="{00000000-0006-0000-0000-00001A000000}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BT4" authorId="0" shapeId="0" xr:uid="{00000000-0006-0000-0000-00001B000000}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BV4" authorId="0" shapeId="0" xr:uid="{00000000-0006-0000-0000-00001C000000}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BW4" authorId="0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Передняя паранефральная клетчатка: расстояние от передней капсулы почки до фасции Герота (в месте входа почечной вены), либо расстояние до ближайшей висцеральной структуры (кишечника)
Боковая паранефральная клетчатка: расстояние от нижнего полюса печени (справа) или селезенки (слева) до латеральной поверхности почки
Задняя паранефральная клетчатка: расстояние от задней капсулы почки до задней брюшной стенки (заднего листка фасции Герота)
Пациенты с паранефральной клетчаткой менее 11–12 мм в любом из трех направлений имеют значительно повышенный риск непредсказуемого смещения почки во время процедур. В многофакторном анализе паранефральная клетчатка является независимым предиктором смещения (OR = 2.067, p = 0.009).
</t>
        </r>
      </text>
    </comment>
    <comment ref="CS4" authorId="0" shapeId="0" xr:uid="{00000000-0006-0000-0000-00001E000000}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U4" authorId="0" shapeId="0" xr:uid="{00000000-0006-0000-0000-00001F000000}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CW4" authorId="0" shapeId="0" xr:uid="{00000000-0006-0000-0000-000020000000}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DA4" authorId="0" shapeId="0" xr:uid="{00000000-0006-0000-0000-000021000000}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DC4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DY4" authorId="0" shapeId="0" xr:uid="{00000000-0006-0000-0000-000023000000}">
      <text>
        <r>
          <rPr>
            <sz val="9"/>
            <color indexed="81"/>
            <rFont val="Tahoma"/>
            <family val="2"/>
            <charset val="204"/>
          </rPr>
          <t>Наклон верхнего полюса вперед/назад.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A4" authorId="0" shapeId="0" xr:uid="{00000000-0006-0000-0000-000024000000}">
      <text>
        <r>
          <rPr>
            <sz val="9"/>
            <color indexed="81"/>
            <rFont val="Tahoma"/>
            <family val="2"/>
            <charset val="204"/>
          </rPr>
          <t xml:space="preserve">Поворот полюсов относительно позвоночника во фронтальной плоскости
</t>
        </r>
      </text>
    </comment>
    <comment ref="EC4" authorId="0" shapeId="0" xr:uid="{00000000-0006-0000-0000-000025000000}">
      <text>
        <r>
          <rPr>
            <sz val="9"/>
            <color indexed="81"/>
            <rFont val="Tahoma"/>
            <family val="2"/>
            <charset val="204"/>
          </rPr>
          <t xml:space="preserve">Евклидово расстояние от устья артерии до первой бифуркации в воротах.
</t>
        </r>
      </text>
    </comment>
    <comment ref="EG4" authorId="0" shapeId="0" xr:uid="{00000000-0006-0000-0000-000026000000}">
      <text>
        <r>
          <rPr>
            <sz val="9"/>
            <color indexed="81"/>
            <rFont val="Tahoma"/>
            <family val="2"/>
            <charset val="204"/>
          </rPr>
          <t xml:space="preserve">Угол отклонения артерии от горизонтали в аксиальной плоскости.
</t>
        </r>
      </text>
    </comment>
    <comment ref="EI4" authorId="0" shapeId="0" xr:uid="{00000000-0006-0000-0000-000027000000}">
      <text>
        <r>
          <rPr>
            <b/>
            <sz val="9"/>
            <color indexed="81"/>
            <rFont val="Tahoma"/>
            <family val="2"/>
            <charset val="204"/>
          </rPr>
          <t xml:space="preserve">Отношение реальной длины сосуда (по кривой) к кратчайшему расстоянию (прямой линии) между точками. TI = Lполное/Lлинейное
</t>
        </r>
      </text>
    </comment>
    <comment ref="J5" authorId="0" shapeId="0" xr:uid="{00000000-0006-0000-0000-000028000000}">
      <text>
        <r>
          <rPr>
            <sz val="9"/>
            <color indexed="81"/>
            <rFont val="Tahoma"/>
            <family val="2"/>
            <charset val="204"/>
          </rPr>
          <t xml:space="preserve">Растояние от верхней замыкательной пластинки L1до центроида трети почки
</t>
        </r>
      </text>
    </comment>
    <comment ref="M5" authorId="0" shapeId="0" xr:uid="{00000000-0006-0000-0000-000029000000}">
      <text>
        <r>
          <rPr>
            <sz val="9"/>
            <color indexed="81"/>
            <rFont val="Tahoma"/>
            <family val="2"/>
            <charset val="204"/>
          </rPr>
          <t xml:space="preserve">Растояние от верхней замыкательной пластинки L1до центроида трети почки
</t>
        </r>
      </text>
    </comment>
    <comment ref="P5" authorId="0" shapeId="0" xr:uid="{00000000-0006-0000-0000-00002A000000}">
      <text>
        <r>
          <rPr>
            <sz val="9"/>
            <color indexed="81"/>
            <rFont val="Tahoma"/>
            <family val="2"/>
            <charset val="204"/>
          </rPr>
          <t xml:space="preserve">Растояние от верхней замыкательной пластинки L1до центроида трети почки
</t>
        </r>
      </text>
    </comment>
  </commentList>
</comments>
</file>

<file path=xl/sharedStrings.xml><?xml version="1.0" encoding="utf-8"?>
<sst xmlns="http://schemas.openxmlformats.org/spreadsheetml/2006/main" count="284" uniqueCount="106">
  <si>
    <t>№</t>
  </si>
  <si>
    <t>ФИО</t>
  </si>
  <si>
    <t>Пол</t>
  </si>
  <si>
    <t>Возраст</t>
  </si>
  <si>
    <t>Телосложение</t>
  </si>
  <si>
    <t>Плешкова</t>
  </si>
  <si>
    <t>ж</t>
  </si>
  <si>
    <t>норма</t>
  </si>
  <si>
    <t>Ёркин</t>
  </si>
  <si>
    <t>м</t>
  </si>
  <si>
    <t>Тарасенко</t>
  </si>
  <si>
    <t>Соболева</t>
  </si>
  <si>
    <t>Алиева</t>
  </si>
  <si>
    <t>астеническое</t>
  </si>
  <si>
    <t>Токуренова</t>
  </si>
  <si>
    <t>Заброда</t>
  </si>
  <si>
    <t>гипер</t>
  </si>
  <si>
    <t>Фёдорова</t>
  </si>
  <si>
    <t>Денисова</t>
  </si>
  <si>
    <t>Гусев</t>
  </si>
  <si>
    <t>Нефедова</t>
  </si>
  <si>
    <t>Радушкин</t>
  </si>
  <si>
    <t>Скляренко</t>
  </si>
  <si>
    <t>Афанасьева</t>
  </si>
  <si>
    <t xml:space="preserve">Теплинская </t>
  </si>
  <si>
    <t xml:space="preserve">Дмитриева </t>
  </si>
  <si>
    <t>Телушкина</t>
  </si>
  <si>
    <t>Гусарова</t>
  </si>
  <si>
    <t>Побежкина</t>
  </si>
  <si>
    <t>астеник</t>
  </si>
  <si>
    <t>Евсеев</t>
  </si>
  <si>
    <t>Афанаскина</t>
  </si>
  <si>
    <t>Саблина</t>
  </si>
  <si>
    <t>Котусов</t>
  </si>
  <si>
    <t>ИМТ</t>
  </si>
  <si>
    <t>Правая почка</t>
  </si>
  <si>
    <t>На спине</t>
  </si>
  <si>
    <t>На боку</t>
  </si>
  <si>
    <t>Координаты почки</t>
  </si>
  <si>
    <t>Угол ротации почки</t>
  </si>
  <si>
    <t>Параметры сосудистой ножки</t>
  </si>
  <si>
    <t>(MAP) Score</t>
  </si>
  <si>
    <t>Верхняя треть</t>
  </si>
  <si>
    <t>Средняя треть</t>
  </si>
  <si>
    <t>Нижняя треть</t>
  </si>
  <si>
    <t>∠ А°</t>
  </si>
  <si>
    <t>∠ В°</t>
  </si>
  <si>
    <t>∠ С°</t>
  </si>
  <si>
    <t>L (мм)</t>
  </si>
  <si>
    <t>∠Отхождения°</t>
  </si>
  <si>
    <t>∠Проваливания°</t>
  </si>
  <si>
    <t>Толщена паранефралльной клетчатки (спереди, сзади, сбоку) мм</t>
  </si>
  <si>
    <t>∠Проваливания</t>
  </si>
  <si>
    <t>Ось Х (мм)</t>
  </si>
  <si>
    <t>Ось Y (мм)</t>
  </si>
  <si>
    <t>Ось Z (мм)</t>
  </si>
  <si>
    <t>Ось Х</t>
  </si>
  <si>
    <t>Ось Y</t>
  </si>
  <si>
    <t>Ось Z</t>
  </si>
  <si>
    <t>(0; 0; 36)</t>
  </si>
  <si>
    <t>(9; 9; 11,7)</t>
  </si>
  <si>
    <t>(16;  0; 24,2)</t>
  </si>
  <si>
    <t>(24,2; 19,8; 50)</t>
  </si>
  <si>
    <t>( 3,7; 4,6; 12,1)</t>
  </si>
  <si>
    <t>Объеим почки</t>
  </si>
  <si>
    <t>Левая почка</t>
  </si>
  <si>
    <t>Разница показателей</t>
  </si>
  <si>
    <t>∠Отхождения</t>
  </si>
  <si>
    <t>L</t>
  </si>
  <si>
    <t>Δ ∠ А(°/%)</t>
  </si>
  <si>
    <t>Δ  ∠ В (°/%)</t>
  </si>
  <si>
    <t xml:space="preserve"> Δ ∠ С (°/%)</t>
  </si>
  <si>
    <t>Δ  L (мм/%)</t>
  </si>
  <si>
    <t>Δ  ∠Отхождения (°/%)</t>
  </si>
  <si>
    <t>Δ  ∠Проваливания (°/%)</t>
  </si>
  <si>
    <t xml:space="preserve">Δ  Индекс извитости </t>
  </si>
  <si>
    <t>Δ  Ось Х (мм/%)</t>
  </si>
  <si>
    <t xml:space="preserve"> Δ Ось Y (мм/%)</t>
  </si>
  <si>
    <t>Δ  Ось Z (мм/%)</t>
  </si>
  <si>
    <t>Δ Ось Х (мм/%)</t>
  </si>
  <si>
    <t>Δ  Ось Y (мм/%)</t>
  </si>
  <si>
    <t>Δ Ось Z (мм/%)</t>
  </si>
  <si>
    <t>0; 0; 10,5</t>
  </si>
  <si>
    <t>0; 0; 31</t>
  </si>
  <si>
    <t>10; 0; 23,8</t>
  </si>
  <si>
    <t>17; 10;  40</t>
  </si>
  <si>
    <t>2,6; 0; 16,5</t>
  </si>
  <si>
    <t>Объеим почки (см3)</t>
  </si>
  <si>
    <t>Бармина</t>
  </si>
  <si>
    <t>(0; 0; 12)</t>
  </si>
  <si>
    <t>0; 0; 0</t>
  </si>
  <si>
    <t>(25; 10; 37)</t>
  </si>
  <si>
    <t>Шараев</t>
  </si>
  <si>
    <t>(18; 10; 29)</t>
  </si>
  <si>
    <t>22; 17; 40</t>
  </si>
  <si>
    <t>Рублев</t>
  </si>
  <si>
    <t>26; 19; 42</t>
  </si>
  <si>
    <t>Сивакова</t>
  </si>
  <si>
    <t>10; 5; 40</t>
  </si>
  <si>
    <t>(5;5;5)</t>
  </si>
  <si>
    <t>Киселев</t>
  </si>
  <si>
    <t>(6; 2; 26)</t>
  </si>
  <si>
    <t>7; 8; 13</t>
  </si>
  <si>
    <t>(11; 0; 48)</t>
  </si>
  <si>
    <t>13; 5; 20</t>
  </si>
  <si>
    <t>Звонилкин (опухоль слева)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</si>
</sst>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56">
    <xf numFmtId="0" fontId="0" fillId="0" borderId="0" xfId="0"/>
    <xf numFmtId="0" fontId="4" fillId="3" borderId="2" xfId="3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7" borderId="2" xfId="7" applyFont="1" applyBorder="1" applyAlignment="1">
      <alignment horizontal="center" vertical="center"/>
    </xf>
    <xf numFmtId="0" fontId="4" fillId="8" borderId="2" xfId="8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3" borderId="3" xfId="3" applyFont="1" applyBorder="1" applyAlignment="1">
      <alignment horizontal="center" vertical="center"/>
    </xf>
    <xf numFmtId="0" fontId="4" fillId="10" borderId="2" xfId="10" applyFont="1" applyBorder="1" applyAlignment="1">
      <alignment horizontal="center" vertical="center"/>
    </xf>
    <xf numFmtId="0" fontId="4" fillId="11" borderId="2" xfId="1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2" xfId="5" applyFont="1" applyBorder="1" applyAlignment="1">
      <alignment horizontal="center" vertical="center"/>
    </xf>
    <xf numFmtId="0" fontId="4" fillId="11" borderId="2" xfId="11" applyFont="1" applyBorder="1" applyAlignment="1">
      <alignment horizontal="center" vertical="center"/>
    </xf>
    <xf numFmtId="0" fontId="6" fillId="9" borderId="1" xfId="9" applyFont="1" applyBorder="1" applyAlignment="1">
      <alignment horizontal="center" vertical="center"/>
    </xf>
    <xf numFmtId="0" fontId="6" fillId="9" borderId="10" xfId="9" applyFont="1" applyBorder="1" applyAlignment="1">
      <alignment horizontal="center" vertical="center"/>
    </xf>
    <xf numFmtId="0" fontId="4" fillId="11" borderId="6" xfId="11" applyFont="1" applyBorder="1" applyAlignment="1">
      <alignment horizontal="center" vertical="center"/>
    </xf>
    <xf numFmtId="0" fontId="4" fillId="11" borderId="7" xfId="11" applyFont="1" applyBorder="1" applyAlignment="1">
      <alignment horizontal="center" vertical="center"/>
    </xf>
    <xf numFmtId="0" fontId="4" fillId="10" borderId="2" xfId="10" applyFont="1" applyBorder="1" applyAlignment="1">
      <alignment horizontal="center" vertical="center"/>
    </xf>
    <xf numFmtId="0" fontId="4" fillId="11" borderId="3" xfId="11" applyFont="1" applyBorder="1" applyAlignment="1">
      <alignment horizontal="center" vertical="center"/>
    </xf>
    <xf numFmtId="0" fontId="4" fillId="11" borderId="4" xfId="11" applyFont="1" applyBorder="1" applyAlignment="1">
      <alignment horizontal="center" vertical="center"/>
    </xf>
    <xf numFmtId="0" fontId="4" fillId="11" borderId="5" xfId="11" applyFont="1" applyBorder="1" applyAlignment="1">
      <alignment horizontal="center" vertical="center"/>
    </xf>
    <xf numFmtId="0" fontId="5" fillId="10" borderId="6" xfId="10" applyFont="1" applyBorder="1" applyAlignment="1">
      <alignment horizontal="center" vertical="center" wrapText="1"/>
    </xf>
    <xf numFmtId="0" fontId="5" fillId="10" borderId="7" xfId="10" applyFont="1" applyBorder="1" applyAlignment="1">
      <alignment horizontal="center" vertical="center" wrapText="1"/>
    </xf>
    <xf numFmtId="0" fontId="6" fillId="4" borderId="9" xfId="4" applyFont="1" applyBorder="1" applyAlignment="1">
      <alignment horizontal="center" vertical="center"/>
    </xf>
    <xf numFmtId="0" fontId="6" fillId="4" borderId="1" xfId="4" applyFont="1" applyBorder="1" applyAlignment="1">
      <alignment horizontal="center" vertical="center"/>
    </xf>
    <xf numFmtId="0" fontId="5" fillId="6" borderId="2" xfId="6" applyFont="1" applyBorder="1" applyAlignment="1">
      <alignment horizontal="center" vertical="center"/>
    </xf>
    <xf numFmtId="0" fontId="5" fillId="11" borderId="6" xfId="11" applyFont="1" applyBorder="1" applyAlignment="1">
      <alignment horizontal="center" vertical="center" wrapText="1"/>
    </xf>
    <xf numFmtId="0" fontId="5" fillId="11" borderId="7" xfId="11" applyFont="1" applyBorder="1" applyAlignment="1">
      <alignment horizontal="center" vertical="center" wrapText="1"/>
    </xf>
    <xf numFmtId="0" fontId="4" fillId="10" borderId="3" xfId="10" applyFont="1" applyBorder="1" applyAlignment="1">
      <alignment horizontal="center" vertical="center"/>
    </xf>
    <xf numFmtId="0" fontId="4" fillId="10" borderId="4" xfId="10" applyFont="1" applyBorder="1" applyAlignment="1">
      <alignment horizontal="center" vertical="center"/>
    </xf>
    <xf numFmtId="0" fontId="4" fillId="10" borderId="5" xfId="10" applyFont="1" applyBorder="1" applyAlignment="1">
      <alignment horizontal="center" vertical="center"/>
    </xf>
    <xf numFmtId="0" fontId="3" fillId="9" borderId="5" xfId="9" applyBorder="1" applyAlignment="1">
      <alignment horizontal="center" vertical="center" wrapText="1"/>
    </xf>
    <xf numFmtId="0" fontId="3" fillId="9" borderId="2" xfId="9" applyBorder="1" applyAlignment="1">
      <alignment horizontal="center" vertical="center" wrapText="1"/>
    </xf>
    <xf numFmtId="0" fontId="4" fillId="8" borderId="2" xfId="8" applyFont="1" applyBorder="1" applyAlignment="1">
      <alignment horizontal="center" vertical="center"/>
    </xf>
    <xf numFmtId="0" fontId="4" fillId="7" borderId="2" xfId="7" applyFont="1" applyBorder="1" applyAlignment="1">
      <alignment horizontal="center" vertical="center"/>
    </xf>
    <xf numFmtId="0" fontId="4" fillId="7" borderId="6" xfId="7" applyFont="1" applyBorder="1" applyAlignment="1">
      <alignment horizontal="center" vertical="center" wrapText="1"/>
    </xf>
    <xf numFmtId="0" fontId="4" fillId="7" borderId="7" xfId="7" applyFont="1" applyBorder="1" applyAlignment="1">
      <alignment horizontal="center" vertical="center" wrapText="1"/>
    </xf>
    <xf numFmtId="0" fontId="4" fillId="8" borderId="3" xfId="8" applyFont="1" applyBorder="1" applyAlignment="1">
      <alignment horizontal="center" vertical="center"/>
    </xf>
    <xf numFmtId="0" fontId="4" fillId="8" borderId="4" xfId="8" applyFont="1" applyBorder="1" applyAlignment="1">
      <alignment horizontal="center" vertical="center"/>
    </xf>
    <xf numFmtId="0" fontId="4" fillId="8" borderId="5" xfId="8" applyFont="1" applyBorder="1" applyAlignment="1">
      <alignment horizontal="center" vertical="center"/>
    </xf>
    <xf numFmtId="0" fontId="5" fillId="8" borderId="2" xfId="8" applyFont="1" applyBorder="1" applyAlignment="1">
      <alignment horizontal="center" vertical="center" wrapText="1"/>
    </xf>
    <xf numFmtId="0" fontId="4" fillId="3" borderId="2" xfId="3" applyFont="1" applyBorder="1" applyAlignment="1">
      <alignment horizontal="center" vertical="center"/>
    </xf>
    <xf numFmtId="0" fontId="4" fillId="7" borderId="3" xfId="7" applyFont="1" applyBorder="1" applyAlignment="1">
      <alignment horizontal="center" vertical="center"/>
    </xf>
    <xf numFmtId="0" fontId="4" fillId="7" borderId="4" xfId="7" applyFont="1" applyBorder="1" applyAlignment="1">
      <alignment horizontal="center" vertical="center"/>
    </xf>
    <xf numFmtId="0" fontId="4" fillId="7" borderId="5" xfId="7" applyFont="1" applyBorder="1" applyAlignment="1">
      <alignment horizontal="center" vertical="center"/>
    </xf>
    <xf numFmtId="0" fontId="5" fillId="7" borderId="2" xfId="7" applyFont="1" applyBorder="1" applyAlignment="1">
      <alignment horizontal="center" vertical="center" wrapText="1"/>
    </xf>
    <xf numFmtId="0" fontId="5" fillId="8" borderId="6" xfId="8" applyFont="1" applyBorder="1" applyAlignment="1">
      <alignment horizontal="center" vertical="center" wrapText="1"/>
    </xf>
    <xf numFmtId="0" fontId="5" fillId="8" borderId="7" xfId="8" applyFont="1" applyBorder="1" applyAlignment="1">
      <alignment horizontal="center" vertical="center" wrapText="1"/>
    </xf>
    <xf numFmtId="0" fontId="6" fillId="2" borderId="2" xfId="2" applyFont="1" applyBorder="1" applyAlignment="1">
      <alignment horizontal="center" vertical="center"/>
    </xf>
    <xf numFmtId="0" fontId="3" fillId="2" borderId="5" xfId="2" applyBorder="1" applyAlignment="1">
      <alignment horizontal="center" vertical="center" wrapText="1"/>
    </xf>
    <xf numFmtId="0" fontId="3" fillId="2" borderId="2" xfId="2" applyBorder="1" applyAlignment="1">
      <alignment horizontal="center" vertical="center" wrapText="1"/>
    </xf>
  </cellXfs>
  <cellStyles count="12">
    <cellStyle name="40% — акцент3" xfId="5" builtinId="39"/>
    <cellStyle name="40% — акцент5" xfId="7" builtinId="47"/>
    <cellStyle name="40% — акцент6" xfId="10" builtinId="51"/>
    <cellStyle name="60% — акцент2" xfId="3" builtinId="36"/>
    <cellStyle name="60% — акцент3" xfId="6" builtinId="40"/>
    <cellStyle name="60% — акцент5" xfId="8" builtinId="48"/>
    <cellStyle name="60% — акцент6" xfId="11" builtinId="52"/>
    <cellStyle name="Акцент1" xfId="2" builtinId="29"/>
    <cellStyle name="Акцент3" xfId="4" builtinId="37"/>
    <cellStyle name="Акцент6" xfId="9" builtinId="49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34"/>
  <sheetViews>
    <sheetView tabSelected="1" topLeftCell="AA1" zoomScale="85" zoomScaleNormal="85" workbookViewId="0">
      <selection activeCell="AN41" sqref="AN41"/>
    </sheetView>
  </sheetViews>
  <sheetFormatPr defaultRowHeight="15" x14ac:dyDescent="0.25"/>
  <cols>
    <col min="2" max="2" width="34.7109375" customWidth="1"/>
    <col min="5" max="5" width="23.140625" customWidth="1"/>
    <col min="8" max="8" width="16.140625" customWidth="1"/>
    <col min="9" max="9" width="21.140625" customWidth="1"/>
    <col min="10" max="10" width="18.5703125" customWidth="1"/>
    <col min="11" max="11" width="17.5703125" customWidth="1"/>
    <col min="12" max="12" width="17.42578125" customWidth="1"/>
    <col min="13" max="13" width="16.7109375" customWidth="1"/>
    <col min="14" max="14" width="18.7109375" customWidth="1"/>
    <col min="15" max="15" width="19.42578125" customWidth="1"/>
    <col min="16" max="16" width="20.42578125" customWidth="1"/>
    <col min="21" max="21" width="20.5703125" customWidth="1"/>
    <col min="22" max="22" width="19.5703125" customWidth="1"/>
    <col min="23" max="23" width="19.140625" customWidth="1"/>
    <col min="40" max="40" width="20.85546875" customWidth="1"/>
    <col min="41" max="41" width="10.7109375" customWidth="1"/>
    <col min="56" max="56" width="12.5703125" customWidth="1"/>
    <col min="57" max="57" width="16.85546875" customWidth="1"/>
    <col min="58" max="58" width="15.7109375" customWidth="1"/>
    <col min="59" max="59" width="17.5703125" customWidth="1"/>
    <col min="75" max="75" width="18" customWidth="1"/>
    <col min="76" max="76" width="15.28515625" customWidth="1"/>
    <col min="78" max="78" width="12.7109375" customWidth="1"/>
    <col min="79" max="79" width="9.28515625" customWidth="1"/>
    <col min="80" max="80" width="12.140625" customWidth="1"/>
    <col min="84" max="84" width="11.5703125" customWidth="1"/>
    <col min="86" max="86" width="12.7109375" customWidth="1"/>
    <col min="88" max="88" width="13.5703125" customWidth="1"/>
    <col min="90" max="90" width="12" customWidth="1"/>
    <col min="92" max="92" width="11.5703125" customWidth="1"/>
    <col min="94" max="94" width="13.5703125" customWidth="1"/>
    <col min="96" max="96" width="12" customWidth="1"/>
    <col min="100" max="100" width="14.140625" customWidth="1"/>
    <col min="102" max="102" width="13.5703125" customWidth="1"/>
    <col min="104" max="104" width="12.140625" customWidth="1"/>
    <col min="105" max="105" width="11.85546875" customWidth="1"/>
    <col min="106" max="106" width="11.28515625" customWidth="1"/>
  </cols>
  <sheetData>
    <row r="1" spans="1:140" ht="15" customHeight="1" x14ac:dyDescent="0.25">
      <c r="A1" s="46"/>
      <c r="B1" s="46"/>
      <c r="C1" s="46"/>
      <c r="D1" s="46"/>
      <c r="E1" s="46"/>
      <c r="F1" s="46"/>
      <c r="G1" s="53" t="s">
        <v>35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18" t="s">
        <v>65</v>
      </c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9"/>
      <c r="BY1" s="28" t="s">
        <v>66</v>
      </c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</row>
    <row r="2" spans="1:140" ht="15" customHeight="1" x14ac:dyDescent="0.25">
      <c r="A2" s="46"/>
      <c r="B2" s="46"/>
      <c r="C2" s="46"/>
      <c r="D2" s="46"/>
      <c r="E2" s="46"/>
      <c r="F2" s="46"/>
      <c r="G2" s="54" t="s">
        <v>87</v>
      </c>
      <c r="H2" s="39" t="s">
        <v>36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8" t="s">
        <v>37</v>
      </c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6" t="s">
        <v>64</v>
      </c>
      <c r="AQ2" s="22" t="s">
        <v>36</v>
      </c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17" t="s">
        <v>37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23"/>
      <c r="BY2" s="16" t="s">
        <v>35</v>
      </c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30" t="s">
        <v>65</v>
      </c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</row>
    <row r="3" spans="1:140" ht="15" customHeight="1" x14ac:dyDescent="0.25">
      <c r="A3" s="46"/>
      <c r="B3" s="46"/>
      <c r="C3" s="46"/>
      <c r="D3" s="46"/>
      <c r="E3" s="46"/>
      <c r="F3" s="46"/>
      <c r="G3" s="54"/>
      <c r="H3" s="39" t="s">
        <v>38</v>
      </c>
      <c r="I3" s="39"/>
      <c r="J3" s="39"/>
      <c r="K3" s="39"/>
      <c r="L3" s="39"/>
      <c r="M3" s="39"/>
      <c r="N3" s="39"/>
      <c r="O3" s="39"/>
      <c r="P3" s="39"/>
      <c r="Q3" s="47" t="s">
        <v>39</v>
      </c>
      <c r="R3" s="48"/>
      <c r="S3" s="49"/>
      <c r="T3" s="39" t="s">
        <v>40</v>
      </c>
      <c r="U3" s="39"/>
      <c r="V3" s="39"/>
      <c r="W3" s="39"/>
      <c r="X3" s="50" t="s">
        <v>41</v>
      </c>
      <c r="Y3" s="38" t="s">
        <v>38</v>
      </c>
      <c r="Z3" s="38"/>
      <c r="AA3" s="38"/>
      <c r="AB3" s="38"/>
      <c r="AC3" s="38"/>
      <c r="AD3" s="38"/>
      <c r="AE3" s="38"/>
      <c r="AF3" s="38"/>
      <c r="AG3" s="38"/>
      <c r="AH3" s="42" t="s">
        <v>39</v>
      </c>
      <c r="AI3" s="43"/>
      <c r="AJ3" s="44"/>
      <c r="AK3" s="38" t="s">
        <v>40</v>
      </c>
      <c r="AL3" s="38"/>
      <c r="AM3" s="38"/>
      <c r="AN3" s="38"/>
      <c r="AO3" s="45" t="s">
        <v>41</v>
      </c>
      <c r="AP3" s="36"/>
      <c r="AQ3" s="22" t="s">
        <v>38</v>
      </c>
      <c r="AR3" s="22"/>
      <c r="AS3" s="22"/>
      <c r="AT3" s="22"/>
      <c r="AU3" s="22"/>
      <c r="AV3" s="22"/>
      <c r="AW3" s="22"/>
      <c r="AX3" s="22"/>
      <c r="AY3" s="22"/>
      <c r="AZ3" s="33" t="s">
        <v>39</v>
      </c>
      <c r="BA3" s="34"/>
      <c r="BB3" s="35"/>
      <c r="BC3" s="22" t="s">
        <v>40</v>
      </c>
      <c r="BD3" s="22"/>
      <c r="BE3" s="22"/>
      <c r="BF3" s="22"/>
      <c r="BG3" s="22" t="s">
        <v>41</v>
      </c>
      <c r="BH3" s="17" t="s">
        <v>38</v>
      </c>
      <c r="BI3" s="17"/>
      <c r="BJ3" s="17"/>
      <c r="BK3" s="17"/>
      <c r="BL3" s="17"/>
      <c r="BM3" s="17"/>
      <c r="BN3" s="17"/>
      <c r="BO3" s="17"/>
      <c r="BP3" s="17"/>
      <c r="BQ3" s="23" t="s">
        <v>39</v>
      </c>
      <c r="BR3" s="24"/>
      <c r="BS3" s="25"/>
      <c r="BT3" s="17" t="s">
        <v>40</v>
      </c>
      <c r="BU3" s="17"/>
      <c r="BV3" s="17"/>
      <c r="BW3" s="17"/>
      <c r="BX3" s="23" t="s">
        <v>41</v>
      </c>
      <c r="BY3" s="16" t="s">
        <v>38</v>
      </c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 t="s">
        <v>39</v>
      </c>
      <c r="CR3" s="16"/>
      <c r="CS3" s="16"/>
      <c r="CT3" s="16"/>
      <c r="CU3" s="16"/>
      <c r="CV3" s="16"/>
      <c r="CW3" s="16" t="s">
        <v>40</v>
      </c>
      <c r="CX3" s="16"/>
      <c r="CY3" s="16"/>
      <c r="CZ3" s="16"/>
      <c r="DA3" s="16"/>
      <c r="DB3" s="16"/>
      <c r="DC3" s="16"/>
      <c r="DD3" s="16"/>
      <c r="DE3" s="30" t="s">
        <v>38</v>
      </c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 t="s">
        <v>39</v>
      </c>
      <c r="DX3" s="30"/>
      <c r="DY3" s="30"/>
      <c r="DZ3" s="30"/>
      <c r="EA3" s="30"/>
      <c r="EB3" s="30"/>
      <c r="EC3" s="30" t="s">
        <v>40</v>
      </c>
      <c r="ED3" s="30"/>
      <c r="EE3" s="30"/>
      <c r="EF3" s="30"/>
      <c r="EG3" s="30"/>
      <c r="EH3" s="30"/>
      <c r="EI3" s="30"/>
      <c r="EJ3" s="30"/>
    </row>
    <row r="4" spans="1:140" ht="15" customHeight="1" x14ac:dyDescent="0.25">
      <c r="A4" s="46"/>
      <c r="B4" s="46"/>
      <c r="C4" s="46"/>
      <c r="D4" s="46"/>
      <c r="E4" s="46"/>
      <c r="F4" s="46"/>
      <c r="G4" s="54"/>
      <c r="H4" s="39" t="s">
        <v>42</v>
      </c>
      <c r="I4" s="39"/>
      <c r="J4" s="39"/>
      <c r="K4" s="39" t="s">
        <v>43</v>
      </c>
      <c r="L4" s="39"/>
      <c r="M4" s="39"/>
      <c r="N4" s="39" t="s">
        <v>44</v>
      </c>
      <c r="O4" s="39"/>
      <c r="P4" s="39"/>
      <c r="Q4" s="39" t="s">
        <v>45</v>
      </c>
      <c r="R4" s="39" t="s">
        <v>46</v>
      </c>
      <c r="S4" s="39" t="s">
        <v>47</v>
      </c>
      <c r="T4" s="39" t="s">
        <v>48</v>
      </c>
      <c r="U4" s="39" t="s">
        <v>49</v>
      </c>
      <c r="V4" s="39" t="s">
        <v>50</v>
      </c>
      <c r="W4" s="40" t="s">
        <v>51</v>
      </c>
      <c r="X4" s="50"/>
      <c r="Y4" s="38" t="s">
        <v>42</v>
      </c>
      <c r="Z4" s="38"/>
      <c r="AA4" s="38"/>
      <c r="AB4" s="38" t="s">
        <v>43</v>
      </c>
      <c r="AC4" s="38"/>
      <c r="AD4" s="38"/>
      <c r="AE4" s="38" t="s">
        <v>44</v>
      </c>
      <c r="AF4" s="38"/>
      <c r="AG4" s="38"/>
      <c r="AH4" s="38" t="s">
        <v>45</v>
      </c>
      <c r="AI4" s="38" t="s">
        <v>46</v>
      </c>
      <c r="AJ4" s="38" t="s">
        <v>47</v>
      </c>
      <c r="AK4" s="38" t="s">
        <v>48</v>
      </c>
      <c r="AL4" s="38" t="s">
        <v>49</v>
      </c>
      <c r="AM4" s="38" t="s">
        <v>52</v>
      </c>
      <c r="AN4" s="51" t="s">
        <v>51</v>
      </c>
      <c r="AO4" s="45"/>
      <c r="AP4" s="36"/>
      <c r="AQ4" s="22" t="s">
        <v>42</v>
      </c>
      <c r="AR4" s="22"/>
      <c r="AS4" s="22"/>
      <c r="AT4" s="22" t="s">
        <v>43</v>
      </c>
      <c r="AU4" s="22"/>
      <c r="AV4" s="22"/>
      <c r="AW4" s="22" t="s">
        <v>44</v>
      </c>
      <c r="AX4" s="22"/>
      <c r="AY4" s="22"/>
      <c r="AZ4" s="22" t="s">
        <v>45</v>
      </c>
      <c r="BA4" s="22" t="s">
        <v>46</v>
      </c>
      <c r="BB4" s="22" t="s">
        <v>47</v>
      </c>
      <c r="BC4" s="22" t="s">
        <v>48</v>
      </c>
      <c r="BD4" s="22" t="s">
        <v>67</v>
      </c>
      <c r="BE4" s="22" t="s">
        <v>52</v>
      </c>
      <c r="BF4" s="26" t="s">
        <v>51</v>
      </c>
      <c r="BG4" s="22"/>
      <c r="BH4" s="17" t="s">
        <v>42</v>
      </c>
      <c r="BI4" s="17"/>
      <c r="BJ4" s="17"/>
      <c r="BK4" s="17" t="s">
        <v>43</v>
      </c>
      <c r="BL4" s="17"/>
      <c r="BM4" s="17"/>
      <c r="BN4" s="17" t="s">
        <v>44</v>
      </c>
      <c r="BO4" s="17"/>
      <c r="BP4" s="17"/>
      <c r="BQ4" s="17" t="s">
        <v>45</v>
      </c>
      <c r="BR4" s="17" t="s">
        <v>46</v>
      </c>
      <c r="BS4" s="17" t="s">
        <v>47</v>
      </c>
      <c r="BT4" s="20" t="s">
        <v>68</v>
      </c>
      <c r="BU4" s="17" t="s">
        <v>67</v>
      </c>
      <c r="BV4" s="17" t="s">
        <v>52</v>
      </c>
      <c r="BW4" s="31" t="s">
        <v>51</v>
      </c>
      <c r="BX4" s="23"/>
      <c r="BY4" s="16" t="s">
        <v>42</v>
      </c>
      <c r="BZ4" s="16"/>
      <c r="CA4" s="16"/>
      <c r="CB4" s="16"/>
      <c r="CC4" s="16"/>
      <c r="CD4" s="16"/>
      <c r="CE4" s="16" t="s">
        <v>43</v>
      </c>
      <c r="CF4" s="16"/>
      <c r="CG4" s="16"/>
      <c r="CH4" s="16"/>
      <c r="CI4" s="16"/>
      <c r="CJ4" s="16"/>
      <c r="CK4" s="16" t="s">
        <v>44</v>
      </c>
      <c r="CL4" s="16"/>
      <c r="CM4" s="16"/>
      <c r="CN4" s="16"/>
      <c r="CO4" s="16"/>
      <c r="CP4" s="16"/>
      <c r="CQ4" s="16" t="s">
        <v>69</v>
      </c>
      <c r="CR4" s="16"/>
      <c r="CS4" s="16" t="s">
        <v>70</v>
      </c>
      <c r="CT4" s="16"/>
      <c r="CU4" s="16" t="s">
        <v>71</v>
      </c>
      <c r="CV4" s="16"/>
      <c r="CW4" s="16" t="s">
        <v>72</v>
      </c>
      <c r="CX4" s="16"/>
      <c r="CY4" s="16" t="s">
        <v>73</v>
      </c>
      <c r="CZ4" s="16"/>
      <c r="DA4" s="16" t="s">
        <v>74</v>
      </c>
      <c r="DB4" s="16"/>
      <c r="DC4" s="16" t="s">
        <v>75</v>
      </c>
      <c r="DD4" s="16"/>
      <c r="DE4" s="30" t="s">
        <v>42</v>
      </c>
      <c r="DF4" s="30"/>
      <c r="DG4" s="30"/>
      <c r="DH4" s="30"/>
      <c r="DI4" s="30"/>
      <c r="DJ4" s="30"/>
      <c r="DK4" s="30" t="s">
        <v>43</v>
      </c>
      <c r="DL4" s="30"/>
      <c r="DM4" s="30"/>
      <c r="DN4" s="30"/>
      <c r="DO4" s="30"/>
      <c r="DP4" s="30"/>
      <c r="DQ4" s="30" t="s">
        <v>44</v>
      </c>
      <c r="DR4" s="30"/>
      <c r="DS4" s="30"/>
      <c r="DT4" s="30"/>
      <c r="DU4" s="30"/>
      <c r="DV4" s="30"/>
      <c r="DW4" s="30" t="s">
        <v>69</v>
      </c>
      <c r="DX4" s="30"/>
      <c r="DY4" s="30" t="s">
        <v>70</v>
      </c>
      <c r="DZ4" s="30"/>
      <c r="EA4" s="30" t="s">
        <v>71</v>
      </c>
      <c r="EB4" s="30"/>
      <c r="EC4" s="30" t="s">
        <v>72</v>
      </c>
      <c r="ED4" s="30"/>
      <c r="EE4" s="30" t="s">
        <v>73</v>
      </c>
      <c r="EF4" s="30"/>
      <c r="EG4" s="30" t="s">
        <v>74</v>
      </c>
      <c r="EH4" s="30"/>
      <c r="EI4" s="30" t="s">
        <v>75</v>
      </c>
      <c r="EJ4" s="30"/>
    </row>
    <row r="5" spans="1:140" ht="18.7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9" t="s">
        <v>34</v>
      </c>
      <c r="G5" s="55"/>
      <c r="H5" s="4" t="s">
        <v>53</v>
      </c>
      <c r="I5" s="4" t="s">
        <v>54</v>
      </c>
      <c r="J5" s="4" t="s">
        <v>55</v>
      </c>
      <c r="K5" s="4" t="s">
        <v>53</v>
      </c>
      <c r="L5" s="4" t="s">
        <v>54</v>
      </c>
      <c r="M5" s="4" t="s">
        <v>55</v>
      </c>
      <c r="N5" s="4" t="s">
        <v>53</v>
      </c>
      <c r="O5" s="4" t="s">
        <v>54</v>
      </c>
      <c r="P5" s="4" t="s">
        <v>55</v>
      </c>
      <c r="Q5" s="39"/>
      <c r="R5" s="39"/>
      <c r="S5" s="39"/>
      <c r="T5" s="39"/>
      <c r="U5" s="39"/>
      <c r="V5" s="39"/>
      <c r="W5" s="41"/>
      <c r="X5" s="50"/>
      <c r="Y5" s="5" t="s">
        <v>56</v>
      </c>
      <c r="Z5" s="5" t="s">
        <v>57</v>
      </c>
      <c r="AA5" s="5" t="s">
        <v>58</v>
      </c>
      <c r="AB5" s="5" t="s">
        <v>56</v>
      </c>
      <c r="AC5" s="5" t="s">
        <v>57</v>
      </c>
      <c r="AD5" s="5" t="s">
        <v>58</v>
      </c>
      <c r="AE5" s="5" t="s">
        <v>56</v>
      </c>
      <c r="AF5" s="5" t="s">
        <v>57</v>
      </c>
      <c r="AG5" s="5" t="s">
        <v>58</v>
      </c>
      <c r="AH5" s="38"/>
      <c r="AI5" s="38"/>
      <c r="AJ5" s="38"/>
      <c r="AK5" s="38"/>
      <c r="AL5" s="38"/>
      <c r="AM5" s="38"/>
      <c r="AN5" s="52"/>
      <c r="AO5" s="45"/>
      <c r="AP5" s="37"/>
      <c r="AQ5" s="10" t="s">
        <v>53</v>
      </c>
      <c r="AR5" s="10" t="s">
        <v>54</v>
      </c>
      <c r="AS5" s="10" t="s">
        <v>55</v>
      </c>
      <c r="AT5" s="10" t="s">
        <v>53</v>
      </c>
      <c r="AU5" s="10" t="s">
        <v>54</v>
      </c>
      <c r="AV5" s="10" t="s">
        <v>55</v>
      </c>
      <c r="AW5" s="10" t="s">
        <v>53</v>
      </c>
      <c r="AX5" s="10" t="s">
        <v>54</v>
      </c>
      <c r="AY5" s="10" t="s">
        <v>55</v>
      </c>
      <c r="AZ5" s="22"/>
      <c r="BA5" s="22"/>
      <c r="BB5" s="22"/>
      <c r="BC5" s="22"/>
      <c r="BD5" s="22"/>
      <c r="BE5" s="22"/>
      <c r="BF5" s="27"/>
      <c r="BG5" s="22"/>
      <c r="BH5" s="11" t="s">
        <v>56</v>
      </c>
      <c r="BI5" s="11" t="s">
        <v>57</v>
      </c>
      <c r="BJ5" s="11" t="s">
        <v>58</v>
      </c>
      <c r="BK5" s="11" t="s">
        <v>56</v>
      </c>
      <c r="BL5" s="11" t="s">
        <v>57</v>
      </c>
      <c r="BM5" s="11" t="s">
        <v>58</v>
      </c>
      <c r="BN5" s="11" t="s">
        <v>56</v>
      </c>
      <c r="BO5" s="11" t="s">
        <v>57</v>
      </c>
      <c r="BP5" s="11" t="s">
        <v>58</v>
      </c>
      <c r="BQ5" s="17"/>
      <c r="BR5" s="17"/>
      <c r="BS5" s="17"/>
      <c r="BT5" s="21"/>
      <c r="BU5" s="17"/>
      <c r="BV5" s="17"/>
      <c r="BW5" s="32"/>
      <c r="BX5" s="23"/>
      <c r="BY5" s="16" t="s">
        <v>76</v>
      </c>
      <c r="BZ5" s="16"/>
      <c r="CA5" s="16" t="s">
        <v>77</v>
      </c>
      <c r="CB5" s="16"/>
      <c r="CC5" s="16" t="s">
        <v>78</v>
      </c>
      <c r="CD5" s="16"/>
      <c r="CE5" s="16" t="s">
        <v>79</v>
      </c>
      <c r="CF5" s="16"/>
      <c r="CG5" s="16" t="s">
        <v>80</v>
      </c>
      <c r="CH5" s="16"/>
      <c r="CI5" s="16" t="s">
        <v>81</v>
      </c>
      <c r="CJ5" s="16"/>
      <c r="CK5" s="16" t="s">
        <v>76</v>
      </c>
      <c r="CL5" s="16"/>
      <c r="CM5" s="16" t="s">
        <v>80</v>
      </c>
      <c r="CN5" s="16"/>
      <c r="CO5" s="16" t="s">
        <v>78</v>
      </c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30" t="s">
        <v>76</v>
      </c>
      <c r="DF5" s="30"/>
      <c r="DG5" s="30" t="s">
        <v>77</v>
      </c>
      <c r="DH5" s="30"/>
      <c r="DI5" s="30" t="s">
        <v>78</v>
      </c>
      <c r="DJ5" s="30"/>
      <c r="DK5" s="30" t="s">
        <v>79</v>
      </c>
      <c r="DL5" s="30"/>
      <c r="DM5" s="30" t="s">
        <v>80</v>
      </c>
      <c r="DN5" s="30"/>
      <c r="DO5" s="30" t="s">
        <v>81</v>
      </c>
      <c r="DP5" s="30"/>
      <c r="DQ5" s="30" t="s">
        <v>76</v>
      </c>
      <c r="DR5" s="30"/>
      <c r="DS5" s="30" t="s">
        <v>80</v>
      </c>
      <c r="DT5" s="30"/>
      <c r="DU5" s="30" t="s">
        <v>78</v>
      </c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</row>
    <row r="6" spans="1:140" ht="18.75" x14ac:dyDescent="0.25">
      <c r="A6" s="2">
        <v>1</v>
      </c>
      <c r="B6" s="2" t="s">
        <v>5</v>
      </c>
      <c r="C6" s="2" t="s">
        <v>6</v>
      </c>
      <c r="D6" s="2">
        <v>39</v>
      </c>
      <c r="E6" s="2" t="s">
        <v>7</v>
      </c>
      <c r="G6" s="15"/>
      <c r="H6" s="2">
        <v>42.7</v>
      </c>
      <c r="I6" s="2">
        <v>12.8</v>
      </c>
      <c r="J6" s="2">
        <v>-51.9</v>
      </c>
      <c r="K6" s="2">
        <v>66.8</v>
      </c>
      <c r="L6" s="2">
        <v>26.5</v>
      </c>
      <c r="M6" s="2">
        <v>-103.4</v>
      </c>
      <c r="N6" s="2">
        <v>65.5</v>
      </c>
      <c r="O6" s="2">
        <v>32.700000000000003</v>
      </c>
      <c r="P6" s="2">
        <v>-149.5</v>
      </c>
      <c r="Q6" s="6">
        <v>89</v>
      </c>
      <c r="R6" s="2">
        <v>72.599999999999994</v>
      </c>
      <c r="S6" s="2">
        <v>70.8</v>
      </c>
      <c r="T6" s="2">
        <v>72.3</v>
      </c>
      <c r="U6" s="2">
        <v>52</v>
      </c>
      <c r="V6" s="2">
        <v>60.4</v>
      </c>
      <c r="W6" s="2"/>
      <c r="X6" s="2">
        <v>0</v>
      </c>
      <c r="Y6" s="2">
        <v>43.9</v>
      </c>
      <c r="Z6" s="2">
        <v>18.7</v>
      </c>
      <c r="AA6" s="2">
        <v>-31.5</v>
      </c>
      <c r="AB6" s="2">
        <v>59</v>
      </c>
      <c r="AC6" s="2">
        <v>24.8</v>
      </c>
      <c r="AD6" s="2">
        <v>-81.400000000000006</v>
      </c>
      <c r="AE6" s="2">
        <v>54</v>
      </c>
      <c r="AF6" s="2">
        <v>32.4</v>
      </c>
      <c r="AG6" s="2">
        <v>-131.9</v>
      </c>
      <c r="AH6" s="6">
        <v>105.8</v>
      </c>
      <c r="AI6" s="2">
        <v>72.3</v>
      </c>
      <c r="AJ6" s="2">
        <v>70</v>
      </c>
      <c r="AK6" s="2">
        <v>52.8</v>
      </c>
      <c r="AL6" s="2">
        <v>46.5</v>
      </c>
      <c r="AM6" s="2">
        <v>61</v>
      </c>
      <c r="AN6" s="2"/>
      <c r="AO6" s="2">
        <v>0</v>
      </c>
      <c r="AQ6" s="2">
        <v>45.9</v>
      </c>
      <c r="AR6" s="2">
        <v>11.1</v>
      </c>
      <c r="AS6" s="2">
        <v>-45.2</v>
      </c>
      <c r="AT6" s="2">
        <v>74.7</v>
      </c>
      <c r="AU6" s="2">
        <v>15.1</v>
      </c>
      <c r="AV6" s="2">
        <v>-85.7</v>
      </c>
      <c r="AW6" s="2">
        <v>85.2</v>
      </c>
      <c r="AX6" s="2">
        <v>17.899999999999999</v>
      </c>
      <c r="AY6" s="2">
        <v>-130.08000000000001</v>
      </c>
      <c r="AZ6" s="6">
        <v>46.6</v>
      </c>
      <c r="BA6" s="2">
        <v>76.400000000000006</v>
      </c>
      <c r="BB6" s="2">
        <v>56.4</v>
      </c>
      <c r="BC6" s="2">
        <v>41.2</v>
      </c>
      <c r="BD6" s="2">
        <v>51.3</v>
      </c>
      <c r="BE6" s="2">
        <v>55</v>
      </c>
      <c r="BF6" s="2"/>
      <c r="BG6" s="2">
        <v>0</v>
      </c>
      <c r="BH6" s="2">
        <v>42.7</v>
      </c>
      <c r="BI6" s="2">
        <v>11</v>
      </c>
      <c r="BJ6" s="2">
        <v>-33.799999999999997</v>
      </c>
      <c r="BK6" s="2">
        <v>74.900000000000006</v>
      </c>
      <c r="BL6" s="2">
        <v>24.5</v>
      </c>
      <c r="BM6" s="2">
        <v>-78.8</v>
      </c>
      <c r="BN6" s="2">
        <v>86.3</v>
      </c>
      <c r="BO6" s="2">
        <v>37.299999999999997</v>
      </c>
      <c r="BP6" s="2">
        <v>-115.9</v>
      </c>
      <c r="BQ6" s="6">
        <v>51.2</v>
      </c>
      <c r="BR6" s="2">
        <v>68.3</v>
      </c>
      <c r="BS6" s="2">
        <v>52.4</v>
      </c>
      <c r="BT6" s="2">
        <v>53.8</v>
      </c>
      <c r="BU6" s="2">
        <v>64.3</v>
      </c>
      <c r="BV6" s="2">
        <v>48.7</v>
      </c>
      <c r="BW6" s="2"/>
      <c r="BX6" s="2">
        <v>0</v>
      </c>
      <c r="BY6" s="2">
        <f t="shared" ref="BY6:BY14" si="0">Z6-I6</f>
        <v>5.8999999999999986</v>
      </c>
      <c r="BZ6" s="12">
        <f t="shared" ref="BZ6:BZ14" si="1">((Z6-I6)/I6)</f>
        <v>0.46093749999999989</v>
      </c>
      <c r="CA6" s="2">
        <f t="shared" ref="CA6:CA14" si="2">SUM(AA6)- J6</f>
        <v>20.399999999999999</v>
      </c>
      <c r="CB6" s="12">
        <f t="shared" ref="CB6:CB14" si="3">((AA6-J6)/J6)</f>
        <v>-0.39306358381502887</v>
      </c>
      <c r="CC6" s="2">
        <f t="shared" ref="CC6:CC14" si="4">AB6-(K6)</f>
        <v>-7.7999999999999972</v>
      </c>
      <c r="CD6" s="12">
        <f t="shared" ref="CD6:CD14" si="5">-((AB6-K6)/K6)</f>
        <v>0.11676646706586823</v>
      </c>
      <c r="CE6" s="2">
        <f t="shared" ref="CE6:CE14" si="6">AC6-L6</f>
        <v>-1.6999999999999993</v>
      </c>
      <c r="CF6" s="12">
        <f t="shared" ref="CF6:CF14" si="7">((AC6-L6)/L6)</f>
        <v>-6.4150943396226387E-2</v>
      </c>
      <c r="CG6" s="2">
        <f t="shared" ref="CG6:CG14" si="8">AD6-M6</f>
        <v>22</v>
      </c>
      <c r="CH6" s="12">
        <f t="shared" ref="CH6:CH14" si="9">((AD6-M6)/M6)</f>
        <v>-0.21276595744680851</v>
      </c>
      <c r="CI6" s="2">
        <f t="shared" ref="CI6:CI14" si="10">AE6-(N6)</f>
        <v>-11.5</v>
      </c>
      <c r="CJ6" s="12">
        <f t="shared" ref="CJ6:CJ14" si="11">-((AE6-N6)/N6)</f>
        <v>0.17557251908396945</v>
      </c>
      <c r="CK6" s="2">
        <f t="shared" ref="CK6:CK14" si="12">AF6-O6</f>
        <v>-0.30000000000000426</v>
      </c>
      <c r="CL6" s="12">
        <f t="shared" ref="CL6:CL14" si="13">((AF6-O6)/O6)</f>
        <v>-9.1743119266056335E-3</v>
      </c>
      <c r="CM6" s="2">
        <f t="shared" ref="CM6:CM14" si="14">AG6-P6</f>
        <v>17.599999999999994</v>
      </c>
      <c r="CN6" s="12">
        <f t="shared" ref="CN6:CN14" si="15">((AG6-P6)/P6)</f>
        <v>-0.11772575250836116</v>
      </c>
      <c r="CO6" s="2">
        <f t="shared" ref="CO6:CO14" si="16">AH6-(Q6)</f>
        <v>16.799999999999997</v>
      </c>
      <c r="CP6" s="12">
        <f t="shared" ref="CP6:CP14" si="17">-((AH6-Q6)/Q6)</f>
        <v>-0.18876404494382018</v>
      </c>
      <c r="CQ6" s="2">
        <f t="shared" ref="CQ6:CQ14" si="18">AI6-R6</f>
        <v>-0.29999999999999716</v>
      </c>
      <c r="CR6" s="12">
        <f t="shared" ref="CR6:CR14" si="19">((AI6-R6)/R6)</f>
        <v>-4.1322314049586388E-3</v>
      </c>
      <c r="CS6" s="2">
        <f t="shared" ref="CS6:CS14" si="20">AJ6-S6</f>
        <v>-0.79999999999999716</v>
      </c>
      <c r="CT6" s="12">
        <f t="shared" ref="CT6:CT14" si="21">((AJ6-S6)/S6)</f>
        <v>-1.1299435028248548E-2</v>
      </c>
      <c r="CU6" s="2">
        <f t="shared" ref="CU6:CU14" si="22">AK6-T6</f>
        <v>-19.5</v>
      </c>
      <c r="CV6" s="12">
        <f t="shared" ref="CV6:CV14" si="23">((AK6-T6)/T6)</f>
        <v>-0.26970954356846472</v>
      </c>
      <c r="CW6" s="2">
        <f t="shared" ref="CW6:CW14" si="24">AL6-U6</f>
        <v>-5.5</v>
      </c>
      <c r="CX6" s="12">
        <f t="shared" ref="CX6:CX14" si="25">((AL6-U6)/U6)</f>
        <v>-0.10576923076923077</v>
      </c>
      <c r="CY6" s="2">
        <f t="shared" ref="CY6:CY14" si="26">AM6-V6</f>
        <v>0.60000000000000142</v>
      </c>
      <c r="CZ6" s="12">
        <f t="shared" ref="CZ6:CZ14" si="27">((AM6-V6)/V6)</f>
        <v>9.9337748344371091E-3</v>
      </c>
      <c r="DA6" s="2">
        <f t="shared" ref="DA6:DA14" si="28">AN6-W6</f>
        <v>0</v>
      </c>
      <c r="DB6" s="12" t="e">
        <f t="shared" ref="DB6:DB14" si="29">((AN6-W6)/W6)</f>
        <v>#DIV/0!</v>
      </c>
      <c r="DC6" s="2"/>
      <c r="DD6" s="12"/>
      <c r="DE6" s="2">
        <f t="shared" ref="DE6:DE27" si="30">SUM(BH6)- AQ6</f>
        <v>-3.1999999999999957</v>
      </c>
      <c r="DF6" s="12">
        <f t="shared" ref="DF6:DF27" si="31">((BH6-AQ6)/AQ6)</f>
        <v>-6.971677559912845E-2</v>
      </c>
      <c r="DG6" s="2">
        <f t="shared" ref="DG6:DG27" si="32">BI6-(AR6)</f>
        <v>-9.9999999999999645E-2</v>
      </c>
      <c r="DH6" s="12">
        <f t="shared" ref="DH6:DH27" si="33">((BI6-AR6)/AR6)</f>
        <v>-9.0090090090089777E-3</v>
      </c>
      <c r="DI6" s="2">
        <f t="shared" ref="DI6:DI27" si="34">BJ6-(AS6)</f>
        <v>11.400000000000006</v>
      </c>
      <c r="DJ6" s="12">
        <f t="shared" ref="DJ6:DJ21" si="35">-((BJ6-AS6)/AS6)</f>
        <v>0.25221238938053109</v>
      </c>
      <c r="DK6" s="2">
        <f t="shared" ref="DK6:DK27" si="36">BK6-AT6</f>
        <v>0.20000000000000284</v>
      </c>
      <c r="DL6" s="12">
        <f t="shared" ref="DL6:DL27" si="37">((BK6-AT6)/AT6)</f>
        <v>2.677376171352113E-3</v>
      </c>
      <c r="DM6" s="2">
        <f t="shared" ref="DM6:DM27" si="38">BL6-(AU6)</f>
        <v>9.4</v>
      </c>
      <c r="DN6" s="12">
        <f t="shared" ref="DN6:DN27" si="39">((BL6-AU6)/AU6)</f>
        <v>0.6225165562913908</v>
      </c>
      <c r="DO6" s="2">
        <f t="shared" ref="DO6:DO27" si="40">BM6-(AV6)</f>
        <v>6.9000000000000057</v>
      </c>
      <c r="DP6" s="12">
        <f t="shared" ref="DP6:DP27" si="41">-((BM6-(AV6))/AV6)</f>
        <v>8.0513418903150585E-2</v>
      </c>
      <c r="DQ6" s="2">
        <f t="shared" ref="DQ6:DQ27" si="42">BN6-AW6</f>
        <v>1.0999999999999943</v>
      </c>
      <c r="DR6" s="12">
        <f t="shared" ref="DR6:DR27" si="43">((BN6-AW6)/AW6)</f>
        <v>1.2910798122065661E-2</v>
      </c>
      <c r="DS6" s="2">
        <f t="shared" ref="DS6:DS27" si="44">BO6-AX6</f>
        <v>19.399999999999999</v>
      </c>
      <c r="DT6" s="12">
        <f t="shared" ref="DT6:DT27" si="45">((BO6-AX6)/AX6)</f>
        <v>1.0837988826815643</v>
      </c>
      <c r="DU6" s="2">
        <f t="shared" ref="DU6:DU27" si="46">BP6-(AY6)</f>
        <v>14.180000000000007</v>
      </c>
      <c r="DV6" s="12">
        <f t="shared" ref="DV6:DV27" si="47">-((BP6-(AY6))/AY6)</f>
        <v>0.10900984009840102</v>
      </c>
      <c r="DW6" s="2">
        <f t="shared" ref="DW6:DW27" si="48">BQ6-AZ6</f>
        <v>4.6000000000000014</v>
      </c>
      <c r="DX6" s="12">
        <f t="shared" ref="DX6:DX27" si="49">((BQ6-AZ6)/AZ6)</f>
        <v>9.8712446351931354E-2</v>
      </c>
      <c r="DY6" s="2">
        <f t="shared" ref="DY6:DY27" si="50">BR6-BA6</f>
        <v>-8.1000000000000085</v>
      </c>
      <c r="DZ6" s="12">
        <f t="shared" ref="DZ6:DZ27" si="51">((BR6-BA6)/BA6)</f>
        <v>-0.10602094240837706</v>
      </c>
      <c r="EA6" s="2">
        <f t="shared" ref="EA6:EA27" si="52">BS6-BB6</f>
        <v>-4</v>
      </c>
      <c r="EB6" s="12">
        <f t="shared" ref="EB6:EB27" si="53">((BS6-BB6)/BB6)</f>
        <v>-7.0921985815602842E-2</v>
      </c>
      <c r="EC6" s="2">
        <f t="shared" ref="EC6:EC27" si="54">BT6-BC6</f>
        <v>12.599999999999994</v>
      </c>
      <c r="ED6" s="12">
        <f t="shared" ref="ED6:ED27" si="55">((BT6-BC6)/BC6)</f>
        <v>0.30582524271844647</v>
      </c>
      <c r="EE6" s="2">
        <f t="shared" ref="EE6:EE27" si="56">BU6-BD6</f>
        <v>13</v>
      </c>
      <c r="EF6" s="12">
        <f t="shared" ref="EF6:EF27" si="57">((BU6-(BD6))/BD6)</f>
        <v>0.25341130604288503</v>
      </c>
      <c r="EG6" s="2">
        <f t="shared" ref="EG6:EG27" si="58">BV6-BE6</f>
        <v>-6.2999999999999972</v>
      </c>
      <c r="EH6" s="12">
        <f t="shared" ref="EH6:EH27" si="59">((BV6-(BE6))/BE6)</f>
        <v>-0.11454545454545449</v>
      </c>
      <c r="EI6" s="2"/>
      <c r="EJ6" s="2"/>
    </row>
    <row r="7" spans="1:140" ht="18.75" x14ac:dyDescent="0.25">
      <c r="A7" s="3">
        <v>2</v>
      </c>
      <c r="B7" s="3" t="s">
        <v>8</v>
      </c>
      <c r="C7" s="3" t="s">
        <v>9</v>
      </c>
      <c r="D7" s="3">
        <v>64</v>
      </c>
      <c r="E7" s="2" t="s">
        <v>7</v>
      </c>
      <c r="G7" s="15"/>
      <c r="H7" s="3">
        <v>59.2</v>
      </c>
      <c r="I7" s="3">
        <v>24.5</v>
      </c>
      <c r="J7" s="3">
        <v>-43.1</v>
      </c>
      <c r="K7" s="3">
        <v>77.7</v>
      </c>
      <c r="L7" s="3">
        <v>29</v>
      </c>
      <c r="M7" s="3">
        <v>-102.7</v>
      </c>
      <c r="N7" s="3">
        <v>95.4</v>
      </c>
      <c r="O7" s="3">
        <v>33.1</v>
      </c>
      <c r="P7" s="3">
        <v>-167.3</v>
      </c>
      <c r="Q7" s="3">
        <v>58.9</v>
      </c>
      <c r="R7" s="3">
        <v>73.599999999999994</v>
      </c>
      <c r="S7" s="3">
        <v>68</v>
      </c>
      <c r="T7" s="3">
        <v>73</v>
      </c>
      <c r="U7" s="3">
        <v>73.5</v>
      </c>
      <c r="V7" s="3">
        <v>71.7</v>
      </c>
      <c r="W7" s="3"/>
      <c r="X7" s="3">
        <v>1</v>
      </c>
      <c r="Y7" s="3">
        <v>58.2</v>
      </c>
      <c r="Z7" s="3">
        <v>18.5</v>
      </c>
      <c r="AA7" s="3">
        <v>-36.4</v>
      </c>
      <c r="AB7" s="3">
        <v>83.1</v>
      </c>
      <c r="AC7" s="3">
        <v>14.4</v>
      </c>
      <c r="AD7" s="3">
        <v>-95.8</v>
      </c>
      <c r="AE7" s="3">
        <v>93.4</v>
      </c>
      <c r="AF7" s="3">
        <v>13.6</v>
      </c>
      <c r="AG7" s="3">
        <v>-160.4</v>
      </c>
      <c r="AH7" s="3">
        <v>48.5</v>
      </c>
      <c r="AI7" s="3">
        <v>70.5</v>
      </c>
      <c r="AJ7" s="3">
        <v>68.8</v>
      </c>
      <c r="AK7" s="3">
        <v>67.8</v>
      </c>
      <c r="AL7" s="3">
        <v>60.1</v>
      </c>
      <c r="AM7" s="3">
        <v>41.9</v>
      </c>
      <c r="AN7" s="3"/>
      <c r="AO7" s="3">
        <v>1</v>
      </c>
      <c r="AQ7" s="3">
        <v>61.7</v>
      </c>
      <c r="AR7" s="3">
        <v>23</v>
      </c>
      <c r="AS7" s="3">
        <v>-24.7</v>
      </c>
      <c r="AT7" s="3">
        <v>83</v>
      </c>
      <c r="AU7" s="3">
        <v>31.1</v>
      </c>
      <c r="AV7" s="3">
        <v>-77.400000000000006</v>
      </c>
      <c r="AW7" s="3">
        <v>83.5</v>
      </c>
      <c r="AX7" s="3">
        <v>36.4</v>
      </c>
      <c r="AY7" s="3">
        <v>-134.4</v>
      </c>
      <c r="AZ7" s="3">
        <v>42.6</v>
      </c>
      <c r="BA7" s="3">
        <v>66.8</v>
      </c>
      <c r="BB7" s="3">
        <v>66.900000000000006</v>
      </c>
      <c r="BC7" s="3">
        <v>30.2</v>
      </c>
      <c r="BD7" s="3">
        <v>63</v>
      </c>
      <c r="BE7" s="3">
        <v>90.2</v>
      </c>
      <c r="BF7" s="3"/>
      <c r="BG7" s="3">
        <v>1</v>
      </c>
      <c r="BH7" s="3">
        <v>56.8</v>
      </c>
      <c r="BI7" s="3">
        <v>31</v>
      </c>
      <c r="BJ7" s="3">
        <v>-37.4</v>
      </c>
      <c r="BK7" s="3">
        <v>73.8</v>
      </c>
      <c r="BL7" s="3">
        <v>37.9</v>
      </c>
      <c r="BM7" s="3">
        <v>-80</v>
      </c>
      <c r="BN7" s="3">
        <v>72.8</v>
      </c>
      <c r="BO7" s="3">
        <v>38.5</v>
      </c>
      <c r="BP7" s="3">
        <v>-137.4</v>
      </c>
      <c r="BQ7" s="3">
        <v>81.3</v>
      </c>
      <c r="BR7" s="3">
        <v>66</v>
      </c>
      <c r="BS7" s="3">
        <v>66.5</v>
      </c>
      <c r="BT7" s="3">
        <v>48.1</v>
      </c>
      <c r="BU7" s="3">
        <v>86</v>
      </c>
      <c r="BV7" s="3">
        <v>132.4</v>
      </c>
      <c r="BW7" s="3"/>
      <c r="BX7" s="3">
        <v>1</v>
      </c>
      <c r="BY7" s="2">
        <f t="shared" si="0"/>
        <v>-6</v>
      </c>
      <c r="BZ7" s="12">
        <f t="shared" si="1"/>
        <v>-0.24489795918367346</v>
      </c>
      <c r="CA7" s="2">
        <f t="shared" si="2"/>
        <v>6.7000000000000028</v>
      </c>
      <c r="CB7" s="12">
        <f t="shared" si="3"/>
        <v>-0.15545243619489565</v>
      </c>
      <c r="CC7" s="2">
        <f t="shared" si="4"/>
        <v>5.3999999999999915</v>
      </c>
      <c r="CD7" s="12">
        <f t="shared" si="5"/>
        <v>-6.9498069498069387E-2</v>
      </c>
      <c r="CE7" s="2">
        <f t="shared" si="6"/>
        <v>-14.6</v>
      </c>
      <c r="CF7" s="12">
        <f t="shared" si="7"/>
        <v>-0.50344827586206897</v>
      </c>
      <c r="CG7" s="2">
        <f t="shared" si="8"/>
        <v>6.9000000000000057</v>
      </c>
      <c r="CH7" s="12">
        <f t="shared" si="9"/>
        <v>-6.7185978578383695E-2</v>
      </c>
      <c r="CI7" s="2">
        <f t="shared" si="10"/>
        <v>-2</v>
      </c>
      <c r="CJ7" s="12">
        <f t="shared" si="11"/>
        <v>2.0964360587002094E-2</v>
      </c>
      <c r="CK7" s="2">
        <f t="shared" si="12"/>
        <v>-19.5</v>
      </c>
      <c r="CL7" s="12">
        <f t="shared" si="13"/>
        <v>-0.58912386706948638</v>
      </c>
      <c r="CM7" s="2">
        <f t="shared" si="14"/>
        <v>6.9000000000000057</v>
      </c>
      <c r="CN7" s="12">
        <f t="shared" si="15"/>
        <v>-4.1243275552899014E-2</v>
      </c>
      <c r="CO7" s="2">
        <f t="shared" si="16"/>
        <v>-10.399999999999999</v>
      </c>
      <c r="CP7" s="12">
        <f t="shared" si="17"/>
        <v>0.17657045840407468</v>
      </c>
      <c r="CQ7" s="2">
        <f t="shared" si="18"/>
        <v>-3.0999999999999943</v>
      </c>
      <c r="CR7" s="12">
        <f t="shared" si="19"/>
        <v>-4.2119565217391228E-2</v>
      </c>
      <c r="CS7" s="2">
        <f t="shared" si="20"/>
        <v>0.79999999999999716</v>
      </c>
      <c r="CT7" s="12">
        <f t="shared" si="21"/>
        <v>1.1764705882352899E-2</v>
      </c>
      <c r="CU7" s="2">
        <f t="shared" si="22"/>
        <v>-5.2000000000000028</v>
      </c>
      <c r="CV7" s="12">
        <f t="shared" si="23"/>
        <v>-7.1232876712328808E-2</v>
      </c>
      <c r="CW7" s="2">
        <f t="shared" si="24"/>
        <v>-13.399999999999999</v>
      </c>
      <c r="CX7" s="12">
        <f t="shared" si="25"/>
        <v>-0.182312925170068</v>
      </c>
      <c r="CY7" s="2">
        <f t="shared" si="26"/>
        <v>-29.800000000000004</v>
      </c>
      <c r="CZ7" s="12">
        <f t="shared" si="27"/>
        <v>-0.41562064156206419</v>
      </c>
      <c r="DA7" s="2">
        <f t="shared" si="28"/>
        <v>0</v>
      </c>
      <c r="DB7" s="12" t="e">
        <f t="shared" si="29"/>
        <v>#DIV/0!</v>
      </c>
      <c r="DC7" s="2"/>
      <c r="DD7" s="12"/>
      <c r="DE7" s="2">
        <f t="shared" si="30"/>
        <v>-4.9000000000000057</v>
      </c>
      <c r="DF7" s="12">
        <f t="shared" si="31"/>
        <v>-7.9416531604538182E-2</v>
      </c>
      <c r="DG7" s="2">
        <f t="shared" si="32"/>
        <v>8</v>
      </c>
      <c r="DH7" s="12">
        <f t="shared" si="33"/>
        <v>0.34782608695652173</v>
      </c>
      <c r="DI7" s="2">
        <f t="shared" si="34"/>
        <v>-12.7</v>
      </c>
      <c r="DJ7" s="12">
        <f t="shared" si="35"/>
        <v>-0.51417004048582993</v>
      </c>
      <c r="DK7" s="2">
        <f t="shared" si="36"/>
        <v>-9.2000000000000028</v>
      </c>
      <c r="DL7" s="12">
        <f t="shared" si="37"/>
        <v>-0.11084337349397594</v>
      </c>
      <c r="DM7" s="2">
        <f t="shared" si="38"/>
        <v>6.7999999999999972</v>
      </c>
      <c r="DN7" s="12">
        <f t="shared" si="39"/>
        <v>0.21864951768488736</v>
      </c>
      <c r="DO7" s="2">
        <f t="shared" si="40"/>
        <v>-2.5999999999999943</v>
      </c>
      <c r="DP7" s="12">
        <f t="shared" si="41"/>
        <v>-3.3591731266149796E-2</v>
      </c>
      <c r="DQ7" s="2">
        <f t="shared" si="42"/>
        <v>-10.700000000000003</v>
      </c>
      <c r="DR7" s="12">
        <f t="shared" si="43"/>
        <v>-0.12814371257485033</v>
      </c>
      <c r="DS7" s="2">
        <f t="shared" si="44"/>
        <v>2.1000000000000014</v>
      </c>
      <c r="DT7" s="12">
        <f t="shared" si="45"/>
        <v>5.769230769230773E-2</v>
      </c>
      <c r="DU7" s="2">
        <f t="shared" si="46"/>
        <v>-3</v>
      </c>
      <c r="DV7" s="12">
        <f t="shared" si="47"/>
        <v>-2.2321428571428572E-2</v>
      </c>
      <c r="DW7" s="2">
        <f t="shared" si="48"/>
        <v>38.699999999999996</v>
      </c>
      <c r="DX7" s="12">
        <f t="shared" si="49"/>
        <v>0.90845070422535201</v>
      </c>
      <c r="DY7" s="2">
        <f t="shared" si="50"/>
        <v>-0.79999999999999716</v>
      </c>
      <c r="DZ7" s="12">
        <f t="shared" si="51"/>
        <v>-1.1976047904191574E-2</v>
      </c>
      <c r="EA7" s="2">
        <f t="shared" si="52"/>
        <v>-0.40000000000000568</v>
      </c>
      <c r="EB7" s="12">
        <f t="shared" si="53"/>
        <v>-5.979073243647319E-3</v>
      </c>
      <c r="EC7" s="2">
        <f t="shared" si="54"/>
        <v>17.900000000000002</v>
      </c>
      <c r="ED7" s="12">
        <f t="shared" si="55"/>
        <v>0.5927152317880795</v>
      </c>
      <c r="EE7" s="2">
        <f t="shared" si="56"/>
        <v>23</v>
      </c>
      <c r="EF7" s="12">
        <f t="shared" si="57"/>
        <v>0.36507936507936506</v>
      </c>
      <c r="EG7" s="2">
        <f t="shared" si="58"/>
        <v>42.2</v>
      </c>
      <c r="EH7" s="12">
        <f t="shared" si="59"/>
        <v>0.46784922394678496</v>
      </c>
      <c r="EI7" s="3"/>
      <c r="EJ7" s="3"/>
    </row>
    <row r="8" spans="1:140" ht="18.75" x14ac:dyDescent="0.25">
      <c r="A8" s="3">
        <v>3</v>
      </c>
      <c r="B8" s="3" t="s">
        <v>10</v>
      </c>
      <c r="C8" s="2" t="s">
        <v>6</v>
      </c>
      <c r="D8" s="3">
        <v>62</v>
      </c>
      <c r="E8" s="2" t="s">
        <v>7</v>
      </c>
      <c r="G8" s="15"/>
      <c r="H8" s="3">
        <v>63.4</v>
      </c>
      <c r="I8" s="3">
        <v>23</v>
      </c>
      <c r="J8" s="3">
        <v>-20</v>
      </c>
      <c r="K8" s="3">
        <v>81.599999999999994</v>
      </c>
      <c r="L8" s="3">
        <v>41.3</v>
      </c>
      <c r="M8" s="3">
        <v>-101.7</v>
      </c>
      <c r="N8" s="3">
        <v>81.099999999999994</v>
      </c>
      <c r="O8" s="3">
        <v>53.8</v>
      </c>
      <c r="P8" s="3">
        <v>-124</v>
      </c>
      <c r="Q8" s="3">
        <v>63.1</v>
      </c>
      <c r="R8" s="3">
        <v>61.4</v>
      </c>
      <c r="S8" s="3">
        <v>66</v>
      </c>
      <c r="T8" s="3">
        <v>68.5</v>
      </c>
      <c r="U8" s="3">
        <v>57.4</v>
      </c>
      <c r="V8" s="3">
        <v>112.1</v>
      </c>
      <c r="W8" s="3"/>
      <c r="X8" s="3">
        <v>4</v>
      </c>
      <c r="Y8" s="3">
        <v>57.7</v>
      </c>
      <c r="Z8" s="3">
        <v>42.1</v>
      </c>
      <c r="AA8" s="3">
        <v>-26</v>
      </c>
      <c r="AB8" s="3">
        <v>60.8</v>
      </c>
      <c r="AC8" s="3">
        <v>62.9</v>
      </c>
      <c r="AD8" s="3">
        <v>-78.599999999999994</v>
      </c>
      <c r="AE8" s="3">
        <v>53.8</v>
      </c>
      <c r="AF8" s="3">
        <v>74.900000000000006</v>
      </c>
      <c r="AG8" s="3">
        <v>-126.7</v>
      </c>
      <c r="AH8" s="3">
        <v>81.7</v>
      </c>
      <c r="AI8" s="3">
        <v>66.599999999999994</v>
      </c>
      <c r="AJ8" s="3">
        <v>87.9</v>
      </c>
      <c r="AK8" s="3">
        <v>50.04</v>
      </c>
      <c r="AL8" s="3">
        <v>45.7</v>
      </c>
      <c r="AM8" s="3">
        <v>122.5</v>
      </c>
      <c r="AN8" s="3"/>
      <c r="AO8" s="3">
        <v>4</v>
      </c>
      <c r="AQ8" s="3">
        <v>70.400000000000006</v>
      </c>
      <c r="AR8" s="3">
        <v>36.9</v>
      </c>
      <c r="AS8" s="3">
        <v>-4.4000000000000004</v>
      </c>
      <c r="AT8" s="3">
        <v>74.400000000000006</v>
      </c>
      <c r="AU8" s="3">
        <v>45.2</v>
      </c>
      <c r="AV8" s="3">
        <v>-60</v>
      </c>
      <c r="AW8" s="3">
        <v>79.099999999999994</v>
      </c>
      <c r="AX8" s="3">
        <v>31.5</v>
      </c>
      <c r="AY8" s="3">
        <v>-108.7</v>
      </c>
      <c r="AZ8" s="3">
        <v>57.7</v>
      </c>
      <c r="BA8" s="3">
        <v>90</v>
      </c>
      <c r="BB8" s="3">
        <v>85.6</v>
      </c>
      <c r="BC8" s="3">
        <v>50.3</v>
      </c>
      <c r="BD8" s="3">
        <v>60</v>
      </c>
      <c r="BE8" s="3">
        <v>83</v>
      </c>
      <c r="BF8" s="3"/>
      <c r="BG8" s="3">
        <v>4</v>
      </c>
      <c r="BH8" s="3">
        <v>67.099999999999994</v>
      </c>
      <c r="BI8" s="3">
        <v>44.2</v>
      </c>
      <c r="BJ8" s="3">
        <v>-19.100000000000001</v>
      </c>
      <c r="BK8" s="3">
        <v>70.599999999999994</v>
      </c>
      <c r="BL8" s="3">
        <v>47</v>
      </c>
      <c r="BM8" s="3">
        <v>-77.3</v>
      </c>
      <c r="BN8" s="3">
        <v>69.8</v>
      </c>
      <c r="BO8" s="3">
        <v>40.6</v>
      </c>
      <c r="BP8" s="3">
        <v>-131.80000000000001</v>
      </c>
      <c r="BQ8" s="3">
        <v>51</v>
      </c>
      <c r="BR8" s="3">
        <v>84.5</v>
      </c>
      <c r="BS8" s="3">
        <v>98.1</v>
      </c>
      <c r="BT8" s="3">
        <v>53</v>
      </c>
      <c r="BU8" s="3">
        <v>56.1</v>
      </c>
      <c r="BV8" s="3">
        <v>96.2</v>
      </c>
      <c r="BW8" s="3"/>
      <c r="BX8" s="3">
        <v>4</v>
      </c>
      <c r="BY8" s="2">
        <f t="shared" si="0"/>
        <v>19.100000000000001</v>
      </c>
      <c r="BZ8" s="12">
        <f t="shared" si="1"/>
        <v>0.83043478260869574</v>
      </c>
      <c r="CA8" s="2">
        <f t="shared" si="2"/>
        <v>-6</v>
      </c>
      <c r="CB8" s="12">
        <f t="shared" si="3"/>
        <v>0.3</v>
      </c>
      <c r="CC8" s="2">
        <f t="shared" si="4"/>
        <v>-20.799999999999997</v>
      </c>
      <c r="CD8" s="12">
        <f t="shared" si="5"/>
        <v>0.25490196078431371</v>
      </c>
      <c r="CE8" s="2">
        <f t="shared" si="6"/>
        <v>21.6</v>
      </c>
      <c r="CF8" s="12">
        <f t="shared" si="7"/>
        <v>0.52300242130750607</v>
      </c>
      <c r="CG8" s="2">
        <f t="shared" si="8"/>
        <v>23.100000000000009</v>
      </c>
      <c r="CH8" s="12">
        <f t="shared" si="9"/>
        <v>-0.22713864306784667</v>
      </c>
      <c r="CI8" s="2">
        <f t="shared" si="10"/>
        <v>-27.299999999999997</v>
      </c>
      <c r="CJ8" s="12">
        <f t="shared" si="11"/>
        <v>0.33662145499383478</v>
      </c>
      <c r="CK8" s="2">
        <f t="shared" si="12"/>
        <v>21.100000000000009</v>
      </c>
      <c r="CL8" s="12">
        <f t="shared" si="13"/>
        <v>0.39219330855018603</v>
      </c>
      <c r="CM8" s="2">
        <f t="shared" si="14"/>
        <v>-2.7000000000000028</v>
      </c>
      <c r="CN8" s="12">
        <f t="shared" si="15"/>
        <v>2.1774193548387121E-2</v>
      </c>
      <c r="CO8" s="2">
        <f t="shared" si="16"/>
        <v>18.600000000000001</v>
      </c>
      <c r="CP8" s="12">
        <f t="shared" si="17"/>
        <v>-0.29477020602218701</v>
      </c>
      <c r="CQ8" s="2">
        <f t="shared" si="18"/>
        <v>5.1999999999999957</v>
      </c>
      <c r="CR8" s="12">
        <f t="shared" si="19"/>
        <v>8.4690553745928265E-2</v>
      </c>
      <c r="CS8" s="2">
        <f t="shared" si="20"/>
        <v>21.900000000000006</v>
      </c>
      <c r="CT8" s="12">
        <f t="shared" si="21"/>
        <v>0.3318181818181819</v>
      </c>
      <c r="CU8" s="2">
        <f t="shared" si="22"/>
        <v>-18.46</v>
      </c>
      <c r="CV8" s="12">
        <f t="shared" si="23"/>
        <v>-0.26948905109489052</v>
      </c>
      <c r="CW8" s="2">
        <f t="shared" si="24"/>
        <v>-11.699999999999996</v>
      </c>
      <c r="CX8" s="12">
        <f t="shared" si="25"/>
        <v>-0.20383275261324035</v>
      </c>
      <c r="CY8" s="2">
        <f t="shared" si="26"/>
        <v>10.400000000000006</v>
      </c>
      <c r="CZ8" s="12">
        <f t="shared" si="27"/>
        <v>9.2774308652988455E-2</v>
      </c>
      <c r="DA8" s="2">
        <f t="shared" si="28"/>
        <v>0</v>
      </c>
      <c r="DB8" s="12" t="e">
        <f t="shared" si="29"/>
        <v>#DIV/0!</v>
      </c>
      <c r="DC8" s="2"/>
      <c r="DD8" s="12"/>
      <c r="DE8" s="2">
        <f t="shared" si="30"/>
        <v>-3.3000000000000114</v>
      </c>
      <c r="DF8" s="12">
        <f t="shared" si="31"/>
        <v>-4.687500000000016E-2</v>
      </c>
      <c r="DG8" s="2">
        <f t="shared" si="32"/>
        <v>7.3000000000000043</v>
      </c>
      <c r="DH8" s="12">
        <f t="shared" si="33"/>
        <v>0.19783197831978333</v>
      </c>
      <c r="DI8" s="2">
        <f t="shared" si="34"/>
        <v>-14.700000000000001</v>
      </c>
      <c r="DJ8" s="12">
        <f t="shared" si="35"/>
        <v>-3.3409090909090908</v>
      </c>
      <c r="DK8" s="2">
        <f t="shared" si="36"/>
        <v>-3.8000000000000114</v>
      </c>
      <c r="DL8" s="12">
        <f t="shared" si="37"/>
        <v>-5.107526881720445E-2</v>
      </c>
      <c r="DM8" s="2">
        <f t="shared" si="38"/>
        <v>1.7999999999999972</v>
      </c>
      <c r="DN8" s="12">
        <f t="shared" si="39"/>
        <v>3.9823008849557459E-2</v>
      </c>
      <c r="DO8" s="2">
        <f t="shared" si="40"/>
        <v>-17.299999999999997</v>
      </c>
      <c r="DP8" s="12">
        <f t="shared" si="41"/>
        <v>-0.28833333333333327</v>
      </c>
      <c r="DQ8" s="2">
        <f t="shared" si="42"/>
        <v>-9.2999999999999972</v>
      </c>
      <c r="DR8" s="12">
        <f t="shared" si="43"/>
        <v>-0.1175726927939317</v>
      </c>
      <c r="DS8" s="2">
        <f t="shared" si="44"/>
        <v>9.1000000000000014</v>
      </c>
      <c r="DT8" s="12">
        <f t="shared" si="45"/>
        <v>0.28888888888888892</v>
      </c>
      <c r="DU8" s="2">
        <f t="shared" si="46"/>
        <v>-23.100000000000009</v>
      </c>
      <c r="DV8" s="12">
        <f t="shared" si="47"/>
        <v>-0.21251149954001847</v>
      </c>
      <c r="DW8" s="2">
        <f t="shared" si="48"/>
        <v>-6.7000000000000028</v>
      </c>
      <c r="DX8" s="12">
        <f t="shared" si="49"/>
        <v>-0.11611785095320629</v>
      </c>
      <c r="DY8" s="2">
        <f t="shared" si="50"/>
        <v>-5.5</v>
      </c>
      <c r="DZ8" s="12">
        <f t="shared" si="51"/>
        <v>-6.1111111111111109E-2</v>
      </c>
      <c r="EA8" s="2">
        <f t="shared" si="52"/>
        <v>12.5</v>
      </c>
      <c r="EB8" s="12">
        <f t="shared" si="53"/>
        <v>0.14602803738317757</v>
      </c>
      <c r="EC8" s="2">
        <f t="shared" si="54"/>
        <v>2.7000000000000028</v>
      </c>
      <c r="ED8" s="12">
        <f t="shared" si="55"/>
        <v>5.3677932405566661E-2</v>
      </c>
      <c r="EE8" s="2">
        <f t="shared" si="56"/>
        <v>-3.8999999999999986</v>
      </c>
      <c r="EF8" s="12">
        <f t="shared" si="57"/>
        <v>-6.4999999999999974E-2</v>
      </c>
      <c r="EG8" s="2">
        <f t="shared" si="58"/>
        <v>13.200000000000003</v>
      </c>
      <c r="EH8" s="12">
        <f t="shared" si="59"/>
        <v>0.15903614457831328</v>
      </c>
      <c r="EI8" s="3"/>
      <c r="EJ8" s="3"/>
    </row>
    <row r="9" spans="1:140" ht="18.75" x14ac:dyDescent="0.25">
      <c r="A9" s="3">
        <v>4</v>
      </c>
      <c r="B9" s="3" t="s">
        <v>11</v>
      </c>
      <c r="C9" s="2" t="s">
        <v>6</v>
      </c>
      <c r="D9" s="3">
        <v>42</v>
      </c>
      <c r="E9" s="2" t="s">
        <v>7</v>
      </c>
      <c r="G9" s="15"/>
      <c r="H9" s="3">
        <v>48.1</v>
      </c>
      <c r="I9" s="3">
        <v>10.1</v>
      </c>
      <c r="J9" s="3">
        <v>-30.1</v>
      </c>
      <c r="K9" s="3">
        <v>61</v>
      </c>
      <c r="L9" s="3">
        <v>21.5</v>
      </c>
      <c r="M9" s="3">
        <v>-81.8</v>
      </c>
      <c r="N9" s="3">
        <v>61.1</v>
      </c>
      <c r="O9" s="3">
        <v>27.8</v>
      </c>
      <c r="P9" s="3">
        <v>-131.9</v>
      </c>
      <c r="Q9" s="3">
        <v>74.2</v>
      </c>
      <c r="R9" s="3">
        <v>67.599999999999994</v>
      </c>
      <c r="S9" s="3">
        <v>71.5</v>
      </c>
      <c r="T9" s="3">
        <v>65.099999999999994</v>
      </c>
      <c r="U9" s="3">
        <v>46.2</v>
      </c>
      <c r="V9" s="3">
        <v>65.900000000000006</v>
      </c>
      <c r="W9" s="3"/>
      <c r="X9" s="3">
        <v>3</v>
      </c>
      <c r="Y9" s="3">
        <v>47.6</v>
      </c>
      <c r="Z9" s="3">
        <v>10</v>
      </c>
      <c r="AA9" s="3">
        <v>-18.8</v>
      </c>
      <c r="AB9" s="3">
        <v>61.5</v>
      </c>
      <c r="AC9" s="3">
        <v>21.9</v>
      </c>
      <c r="AD9" s="3">
        <v>-70.3</v>
      </c>
      <c r="AE9" s="3">
        <v>54.9</v>
      </c>
      <c r="AF9" s="3">
        <v>37</v>
      </c>
      <c r="AG9" s="3">
        <v>-120.4</v>
      </c>
      <c r="AH9" s="3">
        <v>82.9</v>
      </c>
      <c r="AI9" s="3">
        <v>74.5</v>
      </c>
      <c r="AJ9" s="3">
        <v>89.3</v>
      </c>
      <c r="AK9" s="3">
        <v>46.5</v>
      </c>
      <c r="AL9" s="3">
        <v>31.3</v>
      </c>
      <c r="AM9" s="3">
        <v>64.5</v>
      </c>
      <c r="AN9" s="3"/>
      <c r="AO9" s="3">
        <v>3</v>
      </c>
      <c r="AQ9" s="3">
        <v>39.4</v>
      </c>
      <c r="AR9" s="3">
        <v>30.8</v>
      </c>
      <c r="AS9" s="3">
        <v>-1</v>
      </c>
      <c r="AT9" s="3">
        <v>60.5</v>
      </c>
      <c r="AU9" s="3">
        <v>18.5</v>
      </c>
      <c r="AV9" s="3">
        <v>-55.7</v>
      </c>
      <c r="AW9" s="3">
        <v>58</v>
      </c>
      <c r="AX9" s="3">
        <v>16.8</v>
      </c>
      <c r="AY9" s="3">
        <v>-108.8</v>
      </c>
      <c r="AZ9" s="3">
        <v>66.5</v>
      </c>
      <c r="BA9" s="3">
        <v>90.2</v>
      </c>
      <c r="BB9" s="3">
        <v>80.3</v>
      </c>
      <c r="BC9" s="3">
        <v>31.7</v>
      </c>
      <c r="BD9" s="3">
        <v>48.2</v>
      </c>
      <c r="BE9" s="3">
        <v>70</v>
      </c>
      <c r="BF9" s="3"/>
      <c r="BG9" s="3">
        <v>3</v>
      </c>
      <c r="BH9" s="3">
        <v>42.2</v>
      </c>
      <c r="BI9" s="3">
        <v>22.1</v>
      </c>
      <c r="BJ9" s="3">
        <v>-4.68</v>
      </c>
      <c r="BK9" s="3">
        <v>65.900000000000006</v>
      </c>
      <c r="BL9" s="3">
        <v>23.6</v>
      </c>
      <c r="BM9" s="3">
        <v>-59</v>
      </c>
      <c r="BN9" s="3">
        <v>62.9</v>
      </c>
      <c r="BO9" s="3">
        <v>30.6</v>
      </c>
      <c r="BP9" s="3">
        <v>-110</v>
      </c>
      <c r="BQ9" s="3">
        <v>62.5</v>
      </c>
      <c r="BR9" s="3">
        <v>69.599999999999994</v>
      </c>
      <c r="BS9" s="3">
        <v>71</v>
      </c>
      <c r="BT9" s="3">
        <v>27.8</v>
      </c>
      <c r="BU9" s="3">
        <v>43.8</v>
      </c>
      <c r="BV9" s="3">
        <v>86.1</v>
      </c>
      <c r="BW9" s="3"/>
      <c r="BX9" s="3">
        <v>3</v>
      </c>
      <c r="BY9" s="2">
        <f t="shared" si="0"/>
        <v>-9.9999999999999645E-2</v>
      </c>
      <c r="BZ9" s="12">
        <f t="shared" si="1"/>
        <v>-9.9009900990098664E-3</v>
      </c>
      <c r="CA9" s="2">
        <f t="shared" si="2"/>
        <v>11.3</v>
      </c>
      <c r="CB9" s="12">
        <f t="shared" si="3"/>
        <v>-0.37541528239202659</v>
      </c>
      <c r="CC9" s="2">
        <f t="shared" si="4"/>
        <v>0.5</v>
      </c>
      <c r="CD9" s="12">
        <f t="shared" si="5"/>
        <v>-8.1967213114754103E-3</v>
      </c>
      <c r="CE9" s="2">
        <f t="shared" si="6"/>
        <v>0.39999999999999858</v>
      </c>
      <c r="CF9" s="12">
        <f t="shared" si="7"/>
        <v>1.8604651162790631E-2</v>
      </c>
      <c r="CG9" s="2">
        <f t="shared" si="8"/>
        <v>11.5</v>
      </c>
      <c r="CH9" s="12">
        <f t="shared" si="9"/>
        <v>-0.14058679706601468</v>
      </c>
      <c r="CI9" s="2">
        <f t="shared" si="10"/>
        <v>-6.2000000000000028</v>
      </c>
      <c r="CJ9" s="12">
        <f t="shared" si="11"/>
        <v>0.10147299509001641</v>
      </c>
      <c r="CK9" s="2">
        <f t="shared" si="12"/>
        <v>9.1999999999999993</v>
      </c>
      <c r="CL9" s="12">
        <f t="shared" si="13"/>
        <v>0.33093525179856109</v>
      </c>
      <c r="CM9" s="2">
        <f t="shared" si="14"/>
        <v>11.5</v>
      </c>
      <c r="CN9" s="12">
        <f t="shared" si="15"/>
        <v>-8.7187263078089453E-2</v>
      </c>
      <c r="CO9" s="2">
        <f t="shared" si="16"/>
        <v>8.7000000000000028</v>
      </c>
      <c r="CP9" s="12">
        <f t="shared" si="17"/>
        <v>-0.11725067385444747</v>
      </c>
      <c r="CQ9" s="2">
        <f t="shared" si="18"/>
        <v>6.9000000000000057</v>
      </c>
      <c r="CR9" s="12">
        <f t="shared" si="19"/>
        <v>0.10207100591715985</v>
      </c>
      <c r="CS9" s="2">
        <f t="shared" si="20"/>
        <v>17.799999999999997</v>
      </c>
      <c r="CT9" s="12">
        <f t="shared" si="21"/>
        <v>0.24895104895104891</v>
      </c>
      <c r="CU9" s="2">
        <f t="shared" si="22"/>
        <v>-18.599999999999994</v>
      </c>
      <c r="CV9" s="12">
        <f t="shared" si="23"/>
        <v>-0.28571428571428564</v>
      </c>
      <c r="CW9" s="2">
        <f t="shared" si="24"/>
        <v>-14.900000000000002</v>
      </c>
      <c r="CX9" s="12">
        <f t="shared" si="25"/>
        <v>-0.32251082251082253</v>
      </c>
      <c r="CY9" s="2">
        <f t="shared" si="26"/>
        <v>-1.4000000000000057</v>
      </c>
      <c r="CZ9" s="12">
        <f t="shared" si="27"/>
        <v>-2.1244309559939386E-2</v>
      </c>
      <c r="DA9" s="2">
        <f t="shared" si="28"/>
        <v>0</v>
      </c>
      <c r="DB9" s="12" t="e">
        <f t="shared" si="29"/>
        <v>#DIV/0!</v>
      </c>
      <c r="DC9" s="3"/>
      <c r="DD9" s="3"/>
      <c r="DE9" s="2">
        <f t="shared" si="30"/>
        <v>2.8000000000000043</v>
      </c>
      <c r="DF9" s="12">
        <f t="shared" si="31"/>
        <v>7.1065989847715852E-2</v>
      </c>
      <c r="DG9" s="2">
        <f t="shared" si="32"/>
        <v>-8.6999999999999993</v>
      </c>
      <c r="DH9" s="12">
        <f t="shared" si="33"/>
        <v>-0.28246753246753242</v>
      </c>
      <c r="DI9" s="2">
        <f t="shared" si="34"/>
        <v>-3.6799999999999997</v>
      </c>
      <c r="DJ9" s="12">
        <f t="shared" si="35"/>
        <v>-3.6799999999999997</v>
      </c>
      <c r="DK9" s="2">
        <f t="shared" si="36"/>
        <v>5.4000000000000057</v>
      </c>
      <c r="DL9" s="12">
        <f t="shared" si="37"/>
        <v>8.9256198347107532E-2</v>
      </c>
      <c r="DM9" s="2">
        <f t="shared" si="38"/>
        <v>5.1000000000000014</v>
      </c>
      <c r="DN9" s="12">
        <f t="shared" si="39"/>
        <v>0.27567567567567575</v>
      </c>
      <c r="DO9" s="2">
        <f t="shared" si="40"/>
        <v>-3.2999999999999972</v>
      </c>
      <c r="DP9" s="12">
        <f t="shared" si="41"/>
        <v>-5.9245960502692943E-2</v>
      </c>
      <c r="DQ9" s="2">
        <f t="shared" si="42"/>
        <v>4.8999999999999986</v>
      </c>
      <c r="DR9" s="12">
        <f t="shared" si="43"/>
        <v>8.448275862068963E-2</v>
      </c>
      <c r="DS9" s="2">
        <f t="shared" si="44"/>
        <v>13.8</v>
      </c>
      <c r="DT9" s="12">
        <f t="shared" si="45"/>
        <v>0.8214285714285714</v>
      </c>
      <c r="DU9" s="2">
        <f t="shared" si="46"/>
        <v>-1.2000000000000028</v>
      </c>
      <c r="DV9" s="12">
        <f t="shared" si="47"/>
        <v>-1.1029411764705909E-2</v>
      </c>
      <c r="DW9" s="2">
        <f t="shared" si="48"/>
        <v>-4</v>
      </c>
      <c r="DX9" s="12">
        <f t="shared" si="49"/>
        <v>-6.0150375939849621E-2</v>
      </c>
      <c r="DY9" s="2">
        <f t="shared" si="50"/>
        <v>-20.600000000000009</v>
      </c>
      <c r="DZ9" s="12">
        <f t="shared" si="51"/>
        <v>-0.22838137472283823</v>
      </c>
      <c r="EA9" s="2">
        <f t="shared" si="52"/>
        <v>-9.2999999999999972</v>
      </c>
      <c r="EB9" s="12">
        <f t="shared" si="53"/>
        <v>-0.11581569115815687</v>
      </c>
      <c r="EC9" s="2">
        <f t="shared" si="54"/>
        <v>-3.8999999999999986</v>
      </c>
      <c r="ED9" s="12">
        <f t="shared" si="55"/>
        <v>-0.12302839116719239</v>
      </c>
      <c r="EE9" s="2">
        <f t="shared" si="56"/>
        <v>-4.4000000000000057</v>
      </c>
      <c r="EF9" s="12">
        <f t="shared" si="57"/>
        <v>-9.1286307053942015E-2</v>
      </c>
      <c r="EG9" s="2">
        <f t="shared" si="58"/>
        <v>16.099999999999994</v>
      </c>
      <c r="EH9" s="12">
        <f t="shared" si="59"/>
        <v>0.22999999999999993</v>
      </c>
      <c r="EI9" s="3"/>
      <c r="EJ9" s="3"/>
    </row>
    <row r="10" spans="1:140" ht="18.75" x14ac:dyDescent="0.25">
      <c r="A10" s="3">
        <v>5</v>
      </c>
      <c r="B10" s="3" t="s">
        <v>12</v>
      </c>
      <c r="C10" s="2" t="s">
        <v>6</v>
      </c>
      <c r="D10" s="3">
        <v>34</v>
      </c>
      <c r="E10" s="2" t="s">
        <v>13</v>
      </c>
      <c r="G10" s="15"/>
      <c r="H10" s="3">
        <v>37.6</v>
      </c>
      <c r="I10" s="3">
        <v>18.600000000000001</v>
      </c>
      <c r="J10" s="3">
        <v>15.3</v>
      </c>
      <c r="K10" s="3">
        <v>60.7</v>
      </c>
      <c r="L10" s="3">
        <v>13.5</v>
      </c>
      <c r="M10" s="3">
        <v>-39.799999999999997</v>
      </c>
      <c r="N10" s="3">
        <v>56.8</v>
      </c>
      <c r="O10" s="3">
        <v>12</v>
      </c>
      <c r="P10" s="3">
        <v>-93.3</v>
      </c>
      <c r="Q10" s="3">
        <v>73.3</v>
      </c>
      <c r="R10" s="3">
        <v>76.599999999999994</v>
      </c>
      <c r="S10" s="3">
        <v>75</v>
      </c>
      <c r="T10" s="3">
        <v>45.2</v>
      </c>
      <c r="U10" s="3">
        <v>60.2</v>
      </c>
      <c r="V10" s="3">
        <v>58.1</v>
      </c>
      <c r="W10" s="3"/>
      <c r="X10" s="3">
        <v>0</v>
      </c>
      <c r="Y10" s="3">
        <v>43</v>
      </c>
      <c r="Z10" s="3">
        <v>20.3</v>
      </c>
      <c r="AA10" s="3">
        <v>12.9</v>
      </c>
      <c r="AB10" s="3">
        <v>59</v>
      </c>
      <c r="AC10" s="3">
        <v>34</v>
      </c>
      <c r="AD10" s="3">
        <v>-39.1</v>
      </c>
      <c r="AE10" s="3">
        <v>49.5</v>
      </c>
      <c r="AF10" s="3">
        <v>38.299999999999997</v>
      </c>
      <c r="AG10" s="3">
        <v>-92.1</v>
      </c>
      <c r="AH10" s="3">
        <v>79.3</v>
      </c>
      <c r="AI10" s="3">
        <v>71.8</v>
      </c>
      <c r="AJ10" s="3">
        <v>77.3</v>
      </c>
      <c r="AK10" s="3">
        <v>47.5</v>
      </c>
      <c r="AL10" s="3">
        <v>58.6</v>
      </c>
      <c r="AM10" s="3">
        <v>71.8</v>
      </c>
      <c r="AN10" s="3"/>
      <c r="AO10" s="3">
        <v>0</v>
      </c>
      <c r="AQ10" s="3">
        <v>42.9</v>
      </c>
      <c r="AR10" s="3">
        <v>13.4</v>
      </c>
      <c r="AS10" s="3">
        <v>54.1</v>
      </c>
      <c r="AT10" s="3">
        <v>59.7</v>
      </c>
      <c r="AU10" s="3">
        <v>11.7</v>
      </c>
      <c r="AV10" s="3">
        <v>4</v>
      </c>
      <c r="AW10" s="3">
        <v>50.3</v>
      </c>
      <c r="AX10" s="3">
        <v>4.87</v>
      </c>
      <c r="AY10" s="3">
        <v>-55.4</v>
      </c>
      <c r="AZ10" s="3">
        <v>50.4</v>
      </c>
      <c r="BA10" s="3">
        <v>88.8</v>
      </c>
      <c r="BB10" s="3">
        <v>83.8</v>
      </c>
      <c r="BC10" s="3">
        <v>20</v>
      </c>
      <c r="BD10" s="3">
        <v>88.5</v>
      </c>
      <c r="BE10" s="3">
        <v>51.6</v>
      </c>
      <c r="BF10" s="3"/>
      <c r="BG10" s="3">
        <v>0</v>
      </c>
      <c r="BH10" s="3">
        <v>39.9</v>
      </c>
      <c r="BI10" s="3">
        <v>19.600000000000001</v>
      </c>
      <c r="BJ10" s="3">
        <v>16.600000000000001</v>
      </c>
      <c r="BK10" s="3">
        <v>56.5</v>
      </c>
      <c r="BL10" s="3">
        <v>15.6</v>
      </c>
      <c r="BM10" s="3">
        <v>-35.1</v>
      </c>
      <c r="BN10" s="3">
        <v>55.5</v>
      </c>
      <c r="BO10" s="3">
        <v>8.36</v>
      </c>
      <c r="BP10" s="3">
        <v>-84.3</v>
      </c>
      <c r="BQ10" s="3">
        <v>55.9</v>
      </c>
      <c r="BR10" s="3">
        <v>92.3</v>
      </c>
      <c r="BS10" s="3">
        <v>84.5</v>
      </c>
      <c r="BT10" s="3">
        <v>31.8</v>
      </c>
      <c r="BU10" s="3">
        <v>91.5</v>
      </c>
      <c r="BV10" s="3">
        <v>72.400000000000006</v>
      </c>
      <c r="BW10" s="3"/>
      <c r="BX10" s="3">
        <v>0</v>
      </c>
      <c r="BY10" s="2">
        <f t="shared" si="0"/>
        <v>1.6999999999999993</v>
      </c>
      <c r="BZ10" s="12">
        <f t="shared" si="1"/>
        <v>9.1397849462365552E-2</v>
      </c>
      <c r="CA10" s="2">
        <f t="shared" si="2"/>
        <v>-2.4000000000000004</v>
      </c>
      <c r="CB10" s="12">
        <f t="shared" si="3"/>
        <v>-0.15686274509803924</v>
      </c>
      <c r="CC10" s="2">
        <f t="shared" si="4"/>
        <v>-1.7000000000000028</v>
      </c>
      <c r="CD10" s="12">
        <f t="shared" si="5"/>
        <v>2.8006589785832006E-2</v>
      </c>
      <c r="CE10" s="2">
        <f t="shared" si="6"/>
        <v>20.5</v>
      </c>
      <c r="CF10" s="12">
        <f t="shared" si="7"/>
        <v>1.5185185185185186</v>
      </c>
      <c r="CG10" s="2">
        <f t="shared" si="8"/>
        <v>0.69999999999999574</v>
      </c>
      <c r="CH10" s="12">
        <f t="shared" si="9"/>
        <v>-1.7587939698492358E-2</v>
      </c>
      <c r="CI10" s="2">
        <f t="shared" si="10"/>
        <v>-7.2999999999999972</v>
      </c>
      <c r="CJ10" s="12">
        <f t="shared" si="11"/>
        <v>0.12852112676056335</v>
      </c>
      <c r="CK10" s="2">
        <f t="shared" si="12"/>
        <v>26.299999999999997</v>
      </c>
      <c r="CL10" s="12">
        <f t="shared" si="13"/>
        <v>2.1916666666666664</v>
      </c>
      <c r="CM10" s="2">
        <f t="shared" si="14"/>
        <v>1.2000000000000028</v>
      </c>
      <c r="CN10" s="12">
        <f t="shared" si="15"/>
        <v>-1.2861736334405176E-2</v>
      </c>
      <c r="CO10" s="2">
        <f t="shared" si="16"/>
        <v>6</v>
      </c>
      <c r="CP10" s="12">
        <f t="shared" si="17"/>
        <v>-8.1855388813096869E-2</v>
      </c>
      <c r="CQ10" s="2">
        <f t="shared" si="18"/>
        <v>-4.7999999999999972</v>
      </c>
      <c r="CR10" s="12">
        <f t="shared" si="19"/>
        <v>-6.2663185378590044E-2</v>
      </c>
      <c r="CS10" s="2">
        <f t="shared" si="20"/>
        <v>2.2999999999999972</v>
      </c>
      <c r="CT10" s="12">
        <f t="shared" si="21"/>
        <v>3.066666666666663E-2</v>
      </c>
      <c r="CU10" s="2">
        <f t="shared" si="22"/>
        <v>2.2999999999999972</v>
      </c>
      <c r="CV10" s="12">
        <f t="shared" si="23"/>
        <v>5.0884955752212323E-2</v>
      </c>
      <c r="CW10" s="2">
        <f t="shared" si="24"/>
        <v>-1.6000000000000014</v>
      </c>
      <c r="CX10" s="12">
        <f t="shared" si="25"/>
        <v>-2.6578073089701018E-2</v>
      </c>
      <c r="CY10" s="2">
        <f t="shared" si="26"/>
        <v>13.699999999999996</v>
      </c>
      <c r="CZ10" s="12">
        <f t="shared" si="27"/>
        <v>0.23580034423407908</v>
      </c>
      <c r="DA10" s="2">
        <f t="shared" si="28"/>
        <v>0</v>
      </c>
      <c r="DB10" s="12" t="e">
        <f t="shared" si="29"/>
        <v>#DIV/0!</v>
      </c>
      <c r="DC10" s="3"/>
      <c r="DD10" s="3"/>
      <c r="DE10" s="2">
        <f t="shared" si="30"/>
        <v>-3</v>
      </c>
      <c r="DF10" s="12">
        <f t="shared" si="31"/>
        <v>-6.9930069930069935E-2</v>
      </c>
      <c r="DG10" s="2">
        <f t="shared" si="32"/>
        <v>6.2000000000000011</v>
      </c>
      <c r="DH10" s="12">
        <f t="shared" si="33"/>
        <v>0.46268656716417916</v>
      </c>
      <c r="DI10" s="2">
        <f t="shared" si="34"/>
        <v>-37.5</v>
      </c>
      <c r="DJ10" s="12">
        <f t="shared" si="35"/>
        <v>0.69316081330868762</v>
      </c>
      <c r="DK10" s="2">
        <f t="shared" si="36"/>
        <v>-3.2000000000000028</v>
      </c>
      <c r="DL10" s="12">
        <f t="shared" si="37"/>
        <v>-5.360134003350088E-2</v>
      </c>
      <c r="DM10" s="2">
        <f t="shared" si="38"/>
        <v>3.9000000000000004</v>
      </c>
      <c r="DN10" s="12">
        <f t="shared" si="39"/>
        <v>0.33333333333333337</v>
      </c>
      <c r="DO10" s="2">
        <f t="shared" si="40"/>
        <v>-39.1</v>
      </c>
      <c r="DP10" s="12">
        <f t="shared" si="41"/>
        <v>9.7750000000000004</v>
      </c>
      <c r="DQ10" s="2">
        <f t="shared" si="42"/>
        <v>5.2000000000000028</v>
      </c>
      <c r="DR10" s="12">
        <f t="shared" si="43"/>
        <v>0.10337972166998018</v>
      </c>
      <c r="DS10" s="2">
        <f t="shared" si="44"/>
        <v>3.4899999999999993</v>
      </c>
      <c r="DT10" s="12">
        <f t="shared" si="45"/>
        <v>0.71663244353182731</v>
      </c>
      <c r="DU10" s="2">
        <f t="shared" si="46"/>
        <v>-28.9</v>
      </c>
      <c r="DV10" s="12">
        <f t="shared" si="47"/>
        <v>-0.52166064981949456</v>
      </c>
      <c r="DW10" s="2">
        <f t="shared" si="48"/>
        <v>5.5</v>
      </c>
      <c r="DX10" s="12">
        <f t="shared" si="49"/>
        <v>0.10912698412698413</v>
      </c>
      <c r="DY10" s="2">
        <f t="shared" si="50"/>
        <v>3.5</v>
      </c>
      <c r="DZ10" s="12">
        <f t="shared" si="51"/>
        <v>3.9414414414414414E-2</v>
      </c>
      <c r="EA10" s="2">
        <f t="shared" si="52"/>
        <v>0.70000000000000284</v>
      </c>
      <c r="EB10" s="12">
        <f t="shared" si="53"/>
        <v>8.3532219570406074E-3</v>
      </c>
      <c r="EC10" s="2">
        <f t="shared" si="54"/>
        <v>11.8</v>
      </c>
      <c r="ED10" s="12">
        <f t="shared" si="55"/>
        <v>0.59000000000000008</v>
      </c>
      <c r="EE10" s="2">
        <f t="shared" si="56"/>
        <v>3</v>
      </c>
      <c r="EF10" s="12">
        <f t="shared" si="57"/>
        <v>3.3898305084745763E-2</v>
      </c>
      <c r="EG10" s="2">
        <f t="shared" si="58"/>
        <v>20.800000000000004</v>
      </c>
      <c r="EH10" s="12">
        <f t="shared" si="59"/>
        <v>0.4031007751937985</v>
      </c>
      <c r="EI10" s="3"/>
      <c r="EJ10" s="3"/>
    </row>
    <row r="11" spans="1:140" ht="18.75" x14ac:dyDescent="0.25">
      <c r="A11" s="3">
        <v>6</v>
      </c>
      <c r="B11" s="3" t="s">
        <v>14</v>
      </c>
      <c r="C11" s="2" t="s">
        <v>6</v>
      </c>
      <c r="D11" s="3">
        <v>76</v>
      </c>
      <c r="E11" s="2" t="s">
        <v>7</v>
      </c>
      <c r="G11" s="15"/>
      <c r="H11" s="3">
        <v>48.8</v>
      </c>
      <c r="I11" s="3">
        <v>19.899999999999999</v>
      </c>
      <c r="J11" s="3">
        <v>4</v>
      </c>
      <c r="K11" s="3">
        <v>65</v>
      </c>
      <c r="L11" s="3">
        <v>16.8</v>
      </c>
      <c r="M11" s="3">
        <v>-43.2</v>
      </c>
      <c r="N11" s="3">
        <v>69.099999999999994</v>
      </c>
      <c r="O11" s="3">
        <v>14.5</v>
      </c>
      <c r="P11" s="3">
        <v>-83.4</v>
      </c>
      <c r="Q11" s="3">
        <v>64.8</v>
      </c>
      <c r="R11" s="3">
        <v>85.3</v>
      </c>
      <c r="S11" s="3">
        <v>79.400000000000006</v>
      </c>
      <c r="T11" s="3">
        <v>50.3</v>
      </c>
      <c r="U11" s="3">
        <v>59.1</v>
      </c>
      <c r="V11" s="3">
        <v>46.6</v>
      </c>
      <c r="W11" s="3"/>
      <c r="X11" s="3">
        <v>3</v>
      </c>
      <c r="Y11" s="3">
        <v>47.3</v>
      </c>
      <c r="Z11" s="3">
        <v>24.3</v>
      </c>
      <c r="AA11" s="3">
        <v>6.32</v>
      </c>
      <c r="AB11" s="3">
        <v>56.8</v>
      </c>
      <c r="AC11" s="3">
        <v>19</v>
      </c>
      <c r="AD11" s="3">
        <v>-46.4</v>
      </c>
      <c r="AE11" s="3">
        <v>59.2</v>
      </c>
      <c r="AF11" s="3">
        <v>20.6</v>
      </c>
      <c r="AG11" s="3">
        <v>-89.7</v>
      </c>
      <c r="AH11" s="3">
        <v>61.7</v>
      </c>
      <c r="AI11" s="3">
        <v>88.7</v>
      </c>
      <c r="AJ11" s="3">
        <v>81.2</v>
      </c>
      <c r="AK11" s="3">
        <v>32.1</v>
      </c>
      <c r="AL11" s="3">
        <v>42.2</v>
      </c>
      <c r="AM11" s="3">
        <v>52.9</v>
      </c>
      <c r="AN11" s="3"/>
      <c r="AO11" s="3">
        <v>3</v>
      </c>
      <c r="AQ11" s="3">
        <v>58.7</v>
      </c>
      <c r="AR11" s="3">
        <v>15.4</v>
      </c>
      <c r="AS11" s="3">
        <v>27</v>
      </c>
      <c r="AT11" s="3">
        <v>60.2</v>
      </c>
      <c r="AU11" s="3">
        <v>17.2</v>
      </c>
      <c r="AV11" s="3">
        <v>-18.8</v>
      </c>
      <c r="AW11" s="3">
        <v>65.099999999999994</v>
      </c>
      <c r="AX11" s="3">
        <v>17</v>
      </c>
      <c r="AY11" s="3">
        <v>-50.5</v>
      </c>
      <c r="AZ11" s="3">
        <v>89.7</v>
      </c>
      <c r="BA11" s="3">
        <v>81.8</v>
      </c>
      <c r="BB11" s="3">
        <v>81.599999999999994</v>
      </c>
      <c r="BC11" s="3">
        <v>22.1</v>
      </c>
      <c r="BD11" s="3">
        <v>79.7</v>
      </c>
      <c r="BE11" s="3">
        <v>49.6</v>
      </c>
      <c r="BF11" s="3"/>
      <c r="BG11" s="3">
        <v>3</v>
      </c>
      <c r="BH11" s="3">
        <v>52.6</v>
      </c>
      <c r="BI11" s="3">
        <v>16.2</v>
      </c>
      <c r="BJ11" s="3">
        <v>15</v>
      </c>
      <c r="BK11" s="3">
        <v>59.2</v>
      </c>
      <c r="BL11" s="3">
        <v>17.8</v>
      </c>
      <c r="BM11" s="3">
        <v>-24.6</v>
      </c>
      <c r="BN11" s="3">
        <v>61.3</v>
      </c>
      <c r="BO11" s="3">
        <v>18.5</v>
      </c>
      <c r="BP11" s="3">
        <v>-63.4</v>
      </c>
      <c r="BQ11" s="3">
        <v>74.400000000000006</v>
      </c>
      <c r="BR11" s="3">
        <v>90</v>
      </c>
      <c r="BS11" s="3">
        <v>82</v>
      </c>
      <c r="BT11" s="3">
        <v>22.7</v>
      </c>
      <c r="BU11" s="3">
        <v>78.3</v>
      </c>
      <c r="BV11" s="3">
        <v>43</v>
      </c>
      <c r="BW11" s="3"/>
      <c r="BX11" s="3">
        <v>3</v>
      </c>
      <c r="BY11" s="2">
        <f t="shared" si="0"/>
        <v>4.4000000000000021</v>
      </c>
      <c r="BZ11" s="12">
        <f t="shared" si="1"/>
        <v>0.22110552763819108</v>
      </c>
      <c r="CA11" s="2">
        <f t="shared" si="2"/>
        <v>2.3200000000000003</v>
      </c>
      <c r="CB11" s="12">
        <f t="shared" si="3"/>
        <v>0.58000000000000007</v>
      </c>
      <c r="CC11" s="2">
        <f t="shared" si="4"/>
        <v>-8.2000000000000028</v>
      </c>
      <c r="CD11" s="12">
        <f t="shared" si="5"/>
        <v>0.1261538461538462</v>
      </c>
      <c r="CE11" s="2">
        <f t="shared" si="6"/>
        <v>2.1999999999999993</v>
      </c>
      <c r="CF11" s="12">
        <f t="shared" si="7"/>
        <v>0.1309523809523809</v>
      </c>
      <c r="CG11" s="2">
        <f t="shared" si="8"/>
        <v>-3.1999999999999957</v>
      </c>
      <c r="CH11" s="12">
        <f t="shared" si="9"/>
        <v>7.4074074074073973E-2</v>
      </c>
      <c r="CI11" s="2">
        <f t="shared" si="10"/>
        <v>-9.8999999999999915</v>
      </c>
      <c r="CJ11" s="12">
        <f t="shared" si="11"/>
        <v>0.14327062228654114</v>
      </c>
      <c r="CK11" s="2">
        <f t="shared" si="12"/>
        <v>6.1000000000000014</v>
      </c>
      <c r="CL11" s="12">
        <f t="shared" si="13"/>
        <v>0.42068965517241391</v>
      </c>
      <c r="CM11" s="2">
        <f t="shared" si="14"/>
        <v>-6.2999999999999972</v>
      </c>
      <c r="CN11" s="12">
        <f t="shared" si="15"/>
        <v>7.5539568345323702E-2</v>
      </c>
      <c r="CO11" s="2">
        <f t="shared" si="16"/>
        <v>-3.0999999999999943</v>
      </c>
      <c r="CP11" s="12">
        <f t="shared" si="17"/>
        <v>4.783950617283942E-2</v>
      </c>
      <c r="CQ11" s="2">
        <f t="shared" si="18"/>
        <v>3.4000000000000057</v>
      </c>
      <c r="CR11" s="12">
        <f t="shared" si="19"/>
        <v>3.9859320046893389E-2</v>
      </c>
      <c r="CS11" s="2">
        <f t="shared" si="20"/>
        <v>1.7999999999999972</v>
      </c>
      <c r="CT11" s="12">
        <f t="shared" si="21"/>
        <v>2.267002518891684E-2</v>
      </c>
      <c r="CU11" s="2">
        <f t="shared" si="22"/>
        <v>-18.199999999999996</v>
      </c>
      <c r="CV11" s="12">
        <f t="shared" si="23"/>
        <v>-0.36182902584493037</v>
      </c>
      <c r="CW11" s="2">
        <f t="shared" si="24"/>
        <v>-16.899999999999999</v>
      </c>
      <c r="CX11" s="12">
        <f t="shared" si="25"/>
        <v>-0.2859560067681895</v>
      </c>
      <c r="CY11" s="2">
        <f t="shared" si="26"/>
        <v>6.2999999999999972</v>
      </c>
      <c r="CZ11" s="12">
        <f t="shared" si="27"/>
        <v>0.13519313304721023</v>
      </c>
      <c r="DA11" s="2">
        <f t="shared" si="28"/>
        <v>0</v>
      </c>
      <c r="DB11" s="12" t="e">
        <f t="shared" si="29"/>
        <v>#DIV/0!</v>
      </c>
      <c r="DC11" s="3"/>
      <c r="DD11" s="3"/>
      <c r="DE11" s="2">
        <f t="shared" si="30"/>
        <v>-6.1000000000000014</v>
      </c>
      <c r="DF11" s="12">
        <f t="shared" si="31"/>
        <v>-0.10391822827938674</v>
      </c>
      <c r="DG11" s="2">
        <f t="shared" si="32"/>
        <v>0.79999999999999893</v>
      </c>
      <c r="DH11" s="12">
        <f t="shared" si="33"/>
        <v>5.1948051948051875E-2</v>
      </c>
      <c r="DI11" s="2">
        <f t="shared" si="34"/>
        <v>-12</v>
      </c>
      <c r="DJ11" s="12">
        <f t="shared" si="35"/>
        <v>0.44444444444444442</v>
      </c>
      <c r="DK11" s="2">
        <f t="shared" si="36"/>
        <v>-1</v>
      </c>
      <c r="DL11" s="12">
        <f t="shared" si="37"/>
        <v>-1.6611295681063121E-2</v>
      </c>
      <c r="DM11" s="2">
        <f t="shared" si="38"/>
        <v>0.60000000000000142</v>
      </c>
      <c r="DN11" s="12">
        <f t="shared" si="39"/>
        <v>3.4883720930232641E-2</v>
      </c>
      <c r="DO11" s="2">
        <f t="shared" si="40"/>
        <v>-5.8000000000000007</v>
      </c>
      <c r="DP11" s="12">
        <f t="shared" si="41"/>
        <v>-0.30851063829787234</v>
      </c>
      <c r="DQ11" s="2">
        <f t="shared" si="42"/>
        <v>-3.7999999999999972</v>
      </c>
      <c r="DR11" s="12">
        <f t="shared" si="43"/>
        <v>-5.837173579109059E-2</v>
      </c>
      <c r="DS11" s="2">
        <f t="shared" si="44"/>
        <v>1.5</v>
      </c>
      <c r="DT11" s="12">
        <f t="shared" si="45"/>
        <v>8.8235294117647065E-2</v>
      </c>
      <c r="DU11" s="2">
        <f t="shared" si="46"/>
        <v>-12.899999999999999</v>
      </c>
      <c r="DV11" s="12">
        <f t="shared" si="47"/>
        <v>-0.25544554455445539</v>
      </c>
      <c r="DW11" s="2">
        <f t="shared" si="48"/>
        <v>-15.299999999999997</v>
      </c>
      <c r="DX11" s="12">
        <f t="shared" si="49"/>
        <v>-0.17056856187290967</v>
      </c>
      <c r="DY11" s="2">
        <f t="shared" si="50"/>
        <v>8.2000000000000028</v>
      </c>
      <c r="DZ11" s="12">
        <f t="shared" si="51"/>
        <v>0.10024449877750614</v>
      </c>
      <c r="EA11" s="2">
        <f t="shared" si="52"/>
        <v>0.40000000000000568</v>
      </c>
      <c r="EB11" s="12">
        <f t="shared" si="53"/>
        <v>4.9019607843137957E-3</v>
      </c>
      <c r="EC11" s="2">
        <f t="shared" si="54"/>
        <v>0.59999999999999787</v>
      </c>
      <c r="ED11" s="12">
        <f t="shared" si="55"/>
        <v>2.7149321266968226E-2</v>
      </c>
      <c r="EE11" s="2">
        <f t="shared" si="56"/>
        <v>-1.4000000000000057</v>
      </c>
      <c r="EF11" s="12">
        <f t="shared" si="57"/>
        <v>-1.7565872020075354E-2</v>
      </c>
      <c r="EG11" s="2">
        <f t="shared" si="58"/>
        <v>-6.6000000000000014</v>
      </c>
      <c r="EH11" s="12">
        <f t="shared" si="59"/>
        <v>-0.13306451612903228</v>
      </c>
      <c r="EI11" s="3"/>
      <c r="EJ11" s="3"/>
    </row>
    <row r="12" spans="1:140" ht="18.75" x14ac:dyDescent="0.25">
      <c r="A12" s="3">
        <v>7</v>
      </c>
      <c r="B12" s="3" t="s">
        <v>15</v>
      </c>
      <c r="C12" s="3" t="s">
        <v>6</v>
      </c>
      <c r="D12" s="3">
        <v>66</v>
      </c>
      <c r="E12" s="3" t="s">
        <v>16</v>
      </c>
      <c r="G12" s="15"/>
      <c r="H12" s="3">
        <v>39.299999999999997</v>
      </c>
      <c r="I12" s="3">
        <v>21.1</v>
      </c>
      <c r="J12" s="3">
        <v>-1</v>
      </c>
      <c r="K12" s="3">
        <v>55.3</v>
      </c>
      <c r="L12" s="3">
        <v>21.4</v>
      </c>
      <c r="M12" s="3">
        <v>-51.4</v>
      </c>
      <c r="N12" s="3">
        <v>63.3</v>
      </c>
      <c r="O12" s="3">
        <v>13.7</v>
      </c>
      <c r="P12" s="3">
        <v>-100</v>
      </c>
      <c r="Q12" s="3">
        <v>71.400000000000006</v>
      </c>
      <c r="R12" s="3">
        <v>82.3</v>
      </c>
      <c r="S12" s="3">
        <v>77.099999999999994</v>
      </c>
      <c r="T12" s="3">
        <v>32.700000000000003</v>
      </c>
      <c r="U12" s="3">
        <v>111.8</v>
      </c>
      <c r="V12" s="3">
        <v>55.9</v>
      </c>
      <c r="W12" s="3"/>
      <c r="X12" s="3">
        <v>2</v>
      </c>
      <c r="Y12" s="3">
        <v>43.6</v>
      </c>
      <c r="Z12" s="3">
        <v>20.2</v>
      </c>
      <c r="AA12" s="3">
        <v>-7.71</v>
      </c>
      <c r="AB12" s="3">
        <v>55.6</v>
      </c>
      <c r="AC12" s="3">
        <v>35.799999999999997</v>
      </c>
      <c r="AD12" s="3">
        <v>-57.1</v>
      </c>
      <c r="AE12" s="3">
        <v>63.5</v>
      </c>
      <c r="AF12" s="3">
        <v>36.299999999999997</v>
      </c>
      <c r="AG12" s="3">
        <v>-106.3</v>
      </c>
      <c r="AH12" s="3">
        <v>80</v>
      </c>
      <c r="AI12" s="3">
        <v>69.5</v>
      </c>
      <c r="AJ12" s="3">
        <v>76</v>
      </c>
      <c r="AK12" s="3">
        <v>36.9</v>
      </c>
      <c r="AL12" s="3">
        <v>70</v>
      </c>
      <c r="AM12" s="3">
        <v>76</v>
      </c>
      <c r="AN12" s="3"/>
      <c r="AO12" s="3">
        <v>2</v>
      </c>
      <c r="AQ12" s="3">
        <v>44.4</v>
      </c>
      <c r="AR12" s="3">
        <v>18.3</v>
      </c>
      <c r="AS12" s="3">
        <v>24.5</v>
      </c>
      <c r="AT12" s="3">
        <v>59.1</v>
      </c>
      <c r="AU12" s="3">
        <v>19.8</v>
      </c>
      <c r="AV12" s="3">
        <v>-25</v>
      </c>
      <c r="AW12" s="3">
        <v>55.4</v>
      </c>
      <c r="AX12" s="3">
        <v>11.5</v>
      </c>
      <c r="AY12" s="3">
        <v>-72.7</v>
      </c>
      <c r="AZ12" s="3">
        <v>36.700000000000003</v>
      </c>
      <c r="BA12" s="3">
        <v>83</v>
      </c>
      <c r="BB12" s="3">
        <v>77.900000000000006</v>
      </c>
      <c r="BC12" s="3">
        <v>22.4</v>
      </c>
      <c r="BD12" s="3">
        <v>70</v>
      </c>
      <c r="BE12" s="3">
        <v>52.7</v>
      </c>
      <c r="BF12" s="3"/>
      <c r="BG12" s="3">
        <v>2</v>
      </c>
      <c r="BH12" s="3">
        <v>45.6</v>
      </c>
      <c r="BI12" s="3">
        <v>17.399999999999999</v>
      </c>
      <c r="BJ12" s="3">
        <v>-6.4</v>
      </c>
      <c r="BK12" s="3">
        <v>58.7</v>
      </c>
      <c r="BL12" s="3">
        <v>21.6</v>
      </c>
      <c r="BM12" s="3">
        <v>-63.6</v>
      </c>
      <c r="BN12" s="3">
        <v>60</v>
      </c>
      <c r="BO12" s="3">
        <v>30.1</v>
      </c>
      <c r="BP12" s="3">
        <v>-107.3</v>
      </c>
      <c r="BQ12" s="3">
        <v>22.1</v>
      </c>
      <c r="BR12" s="3">
        <v>77.2</v>
      </c>
      <c r="BS12" s="3">
        <v>79.5</v>
      </c>
      <c r="BT12" s="3">
        <v>37.799999999999997</v>
      </c>
      <c r="BU12" s="3">
        <v>60</v>
      </c>
      <c r="BV12" s="3">
        <v>75.3</v>
      </c>
      <c r="BW12" s="3"/>
      <c r="BX12" s="3">
        <v>2</v>
      </c>
      <c r="BY12" s="3">
        <f t="shared" si="0"/>
        <v>-0.90000000000000213</v>
      </c>
      <c r="BZ12" s="13">
        <f t="shared" si="1"/>
        <v>-4.2654028436019058E-2</v>
      </c>
      <c r="CA12" s="3">
        <f t="shared" si="2"/>
        <v>-6.71</v>
      </c>
      <c r="CB12" s="13">
        <f t="shared" si="3"/>
        <v>6.71</v>
      </c>
      <c r="CC12" s="3">
        <f t="shared" si="4"/>
        <v>0.30000000000000426</v>
      </c>
      <c r="CD12" s="13">
        <f t="shared" si="5"/>
        <v>-5.4249547920434769E-3</v>
      </c>
      <c r="CE12" s="3">
        <f t="shared" si="6"/>
        <v>14.399999999999999</v>
      </c>
      <c r="CF12" s="13">
        <f t="shared" si="7"/>
        <v>0.67289719626168221</v>
      </c>
      <c r="CG12" s="3">
        <f t="shared" si="8"/>
        <v>-5.7000000000000028</v>
      </c>
      <c r="CH12" s="13">
        <f t="shared" si="9"/>
        <v>0.11089494163424131</v>
      </c>
      <c r="CI12" s="3">
        <f t="shared" si="10"/>
        <v>0.20000000000000284</v>
      </c>
      <c r="CJ12" s="13">
        <f t="shared" si="11"/>
        <v>-3.1595576619273752E-3</v>
      </c>
      <c r="CK12" s="3">
        <f t="shared" si="12"/>
        <v>22.599999999999998</v>
      </c>
      <c r="CL12" s="13">
        <f t="shared" si="13"/>
        <v>1.6496350364963503</v>
      </c>
      <c r="CM12" s="3">
        <f t="shared" si="14"/>
        <v>-6.2999999999999972</v>
      </c>
      <c r="CN12" s="13">
        <f t="shared" si="15"/>
        <v>6.2999999999999973E-2</v>
      </c>
      <c r="CO12" s="3">
        <f t="shared" si="16"/>
        <v>8.5999999999999943</v>
      </c>
      <c r="CP12" s="13">
        <f t="shared" si="17"/>
        <v>-0.12044817927170859</v>
      </c>
      <c r="CQ12" s="3">
        <f t="shared" si="18"/>
        <v>-12.799999999999997</v>
      </c>
      <c r="CR12" s="13">
        <f t="shared" si="19"/>
        <v>-0.15552855407047383</v>
      </c>
      <c r="CS12" s="3">
        <f t="shared" si="20"/>
        <v>-1.0999999999999943</v>
      </c>
      <c r="CT12" s="13">
        <f t="shared" si="21"/>
        <v>-1.4267185473411081E-2</v>
      </c>
      <c r="CU12" s="3">
        <f t="shared" si="22"/>
        <v>4.1999999999999957</v>
      </c>
      <c r="CV12" s="13">
        <f t="shared" si="23"/>
        <v>0.12844036697247693</v>
      </c>
      <c r="CW12" s="3">
        <f t="shared" si="24"/>
        <v>-41.8</v>
      </c>
      <c r="CX12" s="13">
        <f t="shared" si="25"/>
        <v>-0.37388193202146691</v>
      </c>
      <c r="CY12" s="3">
        <f t="shared" si="26"/>
        <v>20.100000000000001</v>
      </c>
      <c r="CZ12" s="13">
        <f t="shared" si="27"/>
        <v>0.35957066189624332</v>
      </c>
      <c r="DA12" s="3">
        <f t="shared" si="28"/>
        <v>0</v>
      </c>
      <c r="DB12" s="13" t="e">
        <f t="shared" si="29"/>
        <v>#DIV/0!</v>
      </c>
      <c r="DC12" s="3"/>
      <c r="DD12" s="3"/>
      <c r="DE12" s="2">
        <f t="shared" si="30"/>
        <v>1.2000000000000028</v>
      </c>
      <c r="DF12" s="12">
        <f t="shared" si="31"/>
        <v>2.7027027027027091E-2</v>
      </c>
      <c r="DG12" s="2">
        <f t="shared" si="32"/>
        <v>-0.90000000000000213</v>
      </c>
      <c r="DH12" s="12">
        <f t="shared" si="33"/>
        <v>-4.9180327868852576E-2</v>
      </c>
      <c r="DI12" s="2">
        <f t="shared" si="34"/>
        <v>-30.9</v>
      </c>
      <c r="DJ12" s="12">
        <f t="shared" si="35"/>
        <v>1.2612244897959184</v>
      </c>
      <c r="DK12" s="3">
        <f t="shared" si="36"/>
        <v>-0.39999999999999858</v>
      </c>
      <c r="DL12" s="13">
        <f t="shared" si="37"/>
        <v>-6.768189509306236E-3</v>
      </c>
      <c r="DM12" s="3">
        <f t="shared" si="38"/>
        <v>1.8000000000000007</v>
      </c>
      <c r="DN12" s="13">
        <f t="shared" si="39"/>
        <v>9.0909090909090939E-2</v>
      </c>
      <c r="DO12" s="2">
        <f t="shared" si="40"/>
        <v>-38.6</v>
      </c>
      <c r="DP12" s="12">
        <f t="shared" si="41"/>
        <v>-1.544</v>
      </c>
      <c r="DQ12" s="3">
        <f t="shared" si="42"/>
        <v>4.6000000000000014</v>
      </c>
      <c r="DR12" s="13">
        <f t="shared" si="43"/>
        <v>8.303249097472927E-2</v>
      </c>
      <c r="DS12" s="3">
        <f t="shared" si="44"/>
        <v>18.600000000000001</v>
      </c>
      <c r="DT12" s="13">
        <f t="shared" si="45"/>
        <v>1.6173913043478263</v>
      </c>
      <c r="DU12" s="2">
        <f t="shared" si="46"/>
        <v>-34.599999999999994</v>
      </c>
      <c r="DV12" s="12">
        <f t="shared" si="47"/>
        <v>-0.47592847317744147</v>
      </c>
      <c r="DW12" s="3">
        <f t="shared" si="48"/>
        <v>-14.600000000000001</v>
      </c>
      <c r="DX12" s="13">
        <f t="shared" si="49"/>
        <v>-0.39782016348773841</v>
      </c>
      <c r="DY12" s="3">
        <f t="shared" si="50"/>
        <v>-5.7999999999999972</v>
      </c>
      <c r="DZ12" s="13">
        <f t="shared" si="51"/>
        <v>-6.9879518072289121E-2</v>
      </c>
      <c r="EA12" s="3">
        <f t="shared" si="52"/>
        <v>1.5999999999999943</v>
      </c>
      <c r="EB12" s="13">
        <f t="shared" si="53"/>
        <v>2.0539152759948578E-2</v>
      </c>
      <c r="EC12" s="3">
        <f t="shared" si="54"/>
        <v>15.399999999999999</v>
      </c>
      <c r="ED12" s="13">
        <f t="shared" si="55"/>
        <v>0.6875</v>
      </c>
      <c r="EE12" s="3">
        <f t="shared" si="56"/>
        <v>-10</v>
      </c>
      <c r="EF12" s="13">
        <f t="shared" si="57"/>
        <v>-0.14285714285714285</v>
      </c>
      <c r="EG12" s="3">
        <f t="shared" si="58"/>
        <v>22.599999999999994</v>
      </c>
      <c r="EH12" s="13">
        <f t="shared" si="59"/>
        <v>0.4288425047438329</v>
      </c>
      <c r="EI12" s="3"/>
      <c r="EJ12" s="3"/>
    </row>
    <row r="13" spans="1:140" ht="18.75" x14ac:dyDescent="0.25">
      <c r="A13" s="3">
        <v>8</v>
      </c>
      <c r="B13" s="3" t="s">
        <v>17</v>
      </c>
      <c r="C13" s="3" t="s">
        <v>6</v>
      </c>
      <c r="D13" s="3">
        <v>54</v>
      </c>
      <c r="E13" s="3" t="s">
        <v>16</v>
      </c>
      <c r="G13" s="15"/>
      <c r="H13" s="3">
        <v>38.9</v>
      </c>
      <c r="I13" s="3">
        <v>26.3</v>
      </c>
      <c r="J13" s="3">
        <v>23.7</v>
      </c>
      <c r="K13" s="3">
        <v>50.6</v>
      </c>
      <c r="L13" s="3">
        <v>29.8</v>
      </c>
      <c r="M13" s="3">
        <v>-27.8</v>
      </c>
      <c r="N13" s="3">
        <v>50.8</v>
      </c>
      <c r="O13" s="3">
        <v>30.1</v>
      </c>
      <c r="P13" s="3">
        <v>-79.5</v>
      </c>
      <c r="Q13" s="3">
        <v>54</v>
      </c>
      <c r="R13" s="3">
        <v>78.2</v>
      </c>
      <c r="S13" s="3">
        <v>78.8</v>
      </c>
      <c r="T13" s="3">
        <v>45</v>
      </c>
      <c r="U13" s="3">
        <v>47.7</v>
      </c>
      <c r="V13" s="3">
        <v>79</v>
      </c>
      <c r="W13" s="3"/>
      <c r="X13" s="3">
        <v>3</v>
      </c>
      <c r="Y13" s="3">
        <v>35.799999999999997</v>
      </c>
      <c r="Z13" s="3">
        <v>34.6</v>
      </c>
      <c r="AA13" s="3">
        <v>19.100000000000001</v>
      </c>
      <c r="AB13" s="3">
        <v>55.2</v>
      </c>
      <c r="AC13" s="3">
        <v>34.1</v>
      </c>
      <c r="AD13" s="3">
        <v>-33</v>
      </c>
      <c r="AE13" s="3">
        <v>45.6</v>
      </c>
      <c r="AF13" s="3">
        <v>35.9</v>
      </c>
      <c r="AG13" s="3">
        <v>-83</v>
      </c>
      <c r="AH13" s="3">
        <v>54.5</v>
      </c>
      <c r="AI13" s="3">
        <v>83</v>
      </c>
      <c r="AJ13" s="3">
        <v>82</v>
      </c>
      <c r="AK13" s="3">
        <v>42.4</v>
      </c>
      <c r="AL13" s="3">
        <v>45.5</v>
      </c>
      <c r="AM13" s="3">
        <v>82.1</v>
      </c>
      <c r="AN13" s="3"/>
      <c r="AO13" s="3">
        <v>3</v>
      </c>
      <c r="AQ13" s="3">
        <v>35.9</v>
      </c>
      <c r="AR13" s="3">
        <v>17.399999999999999</v>
      </c>
      <c r="AS13" s="3">
        <v>12.3</v>
      </c>
      <c r="AT13" s="3">
        <v>61.2</v>
      </c>
      <c r="AU13" s="3">
        <v>22.7</v>
      </c>
      <c r="AV13" s="3">
        <v>-36.299999999999997</v>
      </c>
      <c r="AW13" s="3">
        <v>59.7</v>
      </c>
      <c r="AX13" s="8">
        <v>27.8</v>
      </c>
      <c r="AY13" s="3">
        <v>-85</v>
      </c>
      <c r="AZ13" s="3">
        <v>42</v>
      </c>
      <c r="BA13" s="3">
        <v>70.099999999999994</v>
      </c>
      <c r="BB13" s="3">
        <v>72.400000000000006</v>
      </c>
      <c r="BC13" s="3">
        <v>36.299999999999997</v>
      </c>
      <c r="BD13" s="3">
        <v>50</v>
      </c>
      <c r="BE13" s="3">
        <v>70</v>
      </c>
      <c r="BF13" s="3"/>
      <c r="BG13" s="3">
        <v>2</v>
      </c>
      <c r="BH13" s="3">
        <v>34</v>
      </c>
      <c r="BI13" s="3">
        <v>26.8</v>
      </c>
      <c r="BJ13" s="3">
        <v>11.5</v>
      </c>
      <c r="BK13" s="3">
        <v>52.9</v>
      </c>
      <c r="BL13" s="3">
        <v>29.6</v>
      </c>
      <c r="BM13" s="3">
        <v>-40.4</v>
      </c>
      <c r="BN13" s="3">
        <v>48.1</v>
      </c>
      <c r="BO13" s="3">
        <v>47</v>
      </c>
      <c r="BP13" s="3">
        <v>-93.2</v>
      </c>
      <c r="BQ13" s="3">
        <v>35.9</v>
      </c>
      <c r="BR13" s="3">
        <v>73</v>
      </c>
      <c r="BS13" s="3">
        <v>77</v>
      </c>
      <c r="BT13" s="3">
        <v>37.9</v>
      </c>
      <c r="BU13" s="3">
        <v>38</v>
      </c>
      <c r="BV13" s="3">
        <v>73.599999999999994</v>
      </c>
      <c r="BW13" s="3"/>
      <c r="BX13" s="3">
        <v>2</v>
      </c>
      <c r="BY13" s="3">
        <f t="shared" si="0"/>
        <v>8.3000000000000007</v>
      </c>
      <c r="BZ13" s="13">
        <f t="shared" si="1"/>
        <v>0.31558935361216733</v>
      </c>
      <c r="CA13" s="3">
        <f t="shared" si="2"/>
        <v>-4.5999999999999979</v>
      </c>
      <c r="CB13" s="13">
        <f t="shared" si="3"/>
        <v>-0.19409282700421931</v>
      </c>
      <c r="CC13" s="3">
        <f t="shared" si="4"/>
        <v>4.6000000000000014</v>
      </c>
      <c r="CD13" s="13">
        <f t="shared" si="5"/>
        <v>-9.0909090909090939E-2</v>
      </c>
      <c r="CE13" s="3">
        <f t="shared" si="6"/>
        <v>4.3000000000000007</v>
      </c>
      <c r="CF13" s="13">
        <f t="shared" si="7"/>
        <v>0.14429530201342283</v>
      </c>
      <c r="CG13" s="3">
        <f t="shared" si="8"/>
        <v>-5.1999999999999993</v>
      </c>
      <c r="CH13" s="13">
        <f t="shared" si="9"/>
        <v>0.18705035971223019</v>
      </c>
      <c r="CI13" s="3">
        <f t="shared" si="10"/>
        <v>-5.1999999999999957</v>
      </c>
      <c r="CJ13" s="13">
        <f t="shared" si="11"/>
        <v>0.10236220472440936</v>
      </c>
      <c r="CK13" s="3">
        <f t="shared" si="12"/>
        <v>5.7999999999999972</v>
      </c>
      <c r="CL13" s="13">
        <f t="shared" si="13"/>
        <v>0.19269102990033213</v>
      </c>
      <c r="CM13" s="3">
        <f t="shared" si="14"/>
        <v>-3.5</v>
      </c>
      <c r="CN13" s="13">
        <f t="shared" si="15"/>
        <v>4.40251572327044E-2</v>
      </c>
      <c r="CO13" s="3">
        <f t="shared" si="16"/>
        <v>0.5</v>
      </c>
      <c r="CP13" s="13">
        <f t="shared" si="17"/>
        <v>-9.2592592592592587E-3</v>
      </c>
      <c r="CQ13" s="3">
        <f t="shared" si="18"/>
        <v>4.7999999999999972</v>
      </c>
      <c r="CR13" s="13">
        <f t="shared" si="19"/>
        <v>6.1381074168797914E-2</v>
      </c>
      <c r="CS13" s="3">
        <f t="shared" si="20"/>
        <v>3.2000000000000028</v>
      </c>
      <c r="CT13" s="13">
        <f t="shared" si="21"/>
        <v>4.0609137055837602E-2</v>
      </c>
      <c r="CU13" s="3">
        <f t="shared" si="22"/>
        <v>-2.6000000000000014</v>
      </c>
      <c r="CV13" s="13">
        <f t="shared" si="23"/>
        <v>-5.777777777777781E-2</v>
      </c>
      <c r="CW13" s="3">
        <f t="shared" si="24"/>
        <v>-2.2000000000000028</v>
      </c>
      <c r="CX13" s="13">
        <f t="shared" si="25"/>
        <v>-4.6121593291404667E-2</v>
      </c>
      <c r="CY13" s="3">
        <f t="shared" si="26"/>
        <v>3.0999999999999943</v>
      </c>
      <c r="CZ13" s="13">
        <f t="shared" si="27"/>
        <v>3.9240506329113849E-2</v>
      </c>
      <c r="DA13" s="3">
        <f t="shared" si="28"/>
        <v>0</v>
      </c>
      <c r="DB13" s="13" t="e">
        <f t="shared" si="29"/>
        <v>#DIV/0!</v>
      </c>
      <c r="DC13" s="3"/>
      <c r="DD13" s="3"/>
      <c r="DE13" s="3">
        <f t="shared" si="30"/>
        <v>-1.8999999999999986</v>
      </c>
      <c r="DF13" s="13">
        <f t="shared" si="31"/>
        <v>-5.2924791086350939E-2</v>
      </c>
      <c r="DG13" s="3">
        <f t="shared" si="32"/>
        <v>9.4000000000000021</v>
      </c>
      <c r="DH13" s="13">
        <f t="shared" si="33"/>
        <v>0.54022988505747138</v>
      </c>
      <c r="DI13" s="3">
        <f t="shared" si="34"/>
        <v>-0.80000000000000071</v>
      </c>
      <c r="DJ13" s="13">
        <f t="shared" si="35"/>
        <v>6.5040650406504114E-2</v>
      </c>
      <c r="DK13" s="3">
        <f t="shared" si="36"/>
        <v>-8.3000000000000043</v>
      </c>
      <c r="DL13" s="13">
        <f t="shared" si="37"/>
        <v>-0.13562091503267981</v>
      </c>
      <c r="DM13" s="3">
        <f t="shared" si="38"/>
        <v>6.9000000000000021</v>
      </c>
      <c r="DN13" s="13">
        <f t="shared" si="39"/>
        <v>0.30396475770925119</v>
      </c>
      <c r="DO13" s="3">
        <f t="shared" si="40"/>
        <v>-4.1000000000000014</v>
      </c>
      <c r="DP13" s="13">
        <f t="shared" si="41"/>
        <v>-0.1129476584022039</v>
      </c>
      <c r="DQ13" s="3">
        <f t="shared" si="42"/>
        <v>-11.600000000000001</v>
      </c>
      <c r="DR13" s="13">
        <f t="shared" si="43"/>
        <v>-0.19430485762144056</v>
      </c>
      <c r="DS13" s="3">
        <f t="shared" si="44"/>
        <v>19.2</v>
      </c>
      <c r="DT13" s="13">
        <f t="shared" si="45"/>
        <v>0.69064748201438841</v>
      </c>
      <c r="DU13" s="3">
        <f t="shared" si="46"/>
        <v>-8.2000000000000028</v>
      </c>
      <c r="DV13" s="13">
        <f t="shared" si="47"/>
        <v>-9.6470588235294155E-2</v>
      </c>
      <c r="DW13" s="3">
        <f t="shared" si="48"/>
        <v>-6.1000000000000014</v>
      </c>
      <c r="DX13" s="13">
        <f t="shared" si="49"/>
        <v>-0.14523809523809528</v>
      </c>
      <c r="DY13" s="3">
        <f t="shared" si="50"/>
        <v>2.9000000000000057</v>
      </c>
      <c r="DZ13" s="13">
        <f t="shared" si="51"/>
        <v>4.1369472182596373E-2</v>
      </c>
      <c r="EA13" s="3">
        <f t="shared" si="52"/>
        <v>4.5999999999999943</v>
      </c>
      <c r="EB13" s="13">
        <f t="shared" si="53"/>
        <v>6.3535911602209866E-2</v>
      </c>
      <c r="EC13" s="3">
        <f t="shared" si="54"/>
        <v>1.6000000000000014</v>
      </c>
      <c r="ED13" s="13">
        <f t="shared" si="55"/>
        <v>4.4077134986225938E-2</v>
      </c>
      <c r="EE13" s="3">
        <f t="shared" si="56"/>
        <v>-12</v>
      </c>
      <c r="EF13" s="13">
        <f t="shared" si="57"/>
        <v>-0.24</v>
      </c>
      <c r="EG13" s="3">
        <f t="shared" si="58"/>
        <v>3.5999999999999943</v>
      </c>
      <c r="EH13" s="13">
        <f t="shared" si="59"/>
        <v>5.1428571428571344E-2</v>
      </c>
      <c r="EI13" s="3"/>
      <c r="EJ13" s="3"/>
    </row>
    <row r="14" spans="1:140" ht="18.75" x14ac:dyDescent="0.25">
      <c r="A14" s="3">
        <v>9</v>
      </c>
      <c r="B14" s="3" t="s">
        <v>18</v>
      </c>
      <c r="C14" s="3" t="s">
        <v>6</v>
      </c>
      <c r="D14" s="3">
        <v>49</v>
      </c>
      <c r="E14" s="2" t="s">
        <v>7</v>
      </c>
      <c r="G14" s="15"/>
      <c r="H14" s="3">
        <v>43.7</v>
      </c>
      <c r="I14" s="3">
        <v>14.2</v>
      </c>
      <c r="J14" s="3">
        <v>-16.5</v>
      </c>
      <c r="K14" s="3">
        <v>59.5</v>
      </c>
      <c r="L14" s="3">
        <v>22.2</v>
      </c>
      <c r="M14" s="3">
        <v>-34.9</v>
      </c>
      <c r="N14" s="3">
        <v>64.7</v>
      </c>
      <c r="O14" s="3">
        <v>25.2</v>
      </c>
      <c r="P14" s="3">
        <v>-88</v>
      </c>
      <c r="Q14" s="3">
        <v>53.4</v>
      </c>
      <c r="R14" s="3">
        <v>77.3</v>
      </c>
      <c r="S14" s="3">
        <v>73.099999999999994</v>
      </c>
      <c r="T14" s="3">
        <v>40</v>
      </c>
      <c r="U14" s="3">
        <v>63.8</v>
      </c>
      <c r="V14" s="3">
        <v>63.8</v>
      </c>
      <c r="W14" s="3"/>
      <c r="X14" s="3">
        <v>0</v>
      </c>
      <c r="Y14" s="3">
        <v>46.4</v>
      </c>
      <c r="Z14" s="3">
        <v>21.2</v>
      </c>
      <c r="AA14" s="3">
        <v>4.29</v>
      </c>
      <c r="AB14" s="3">
        <v>57.5</v>
      </c>
      <c r="AC14" s="3">
        <v>36.799999999999997</v>
      </c>
      <c r="AD14" s="3">
        <v>-60.4</v>
      </c>
      <c r="AE14" s="3">
        <v>57.9</v>
      </c>
      <c r="AF14" s="3">
        <v>46.8</v>
      </c>
      <c r="AG14" s="3">
        <v>-115.7</v>
      </c>
      <c r="AH14" s="3">
        <v>55.5</v>
      </c>
      <c r="AI14" s="3">
        <v>66.400000000000006</v>
      </c>
      <c r="AJ14" s="3">
        <v>76.099999999999994</v>
      </c>
      <c r="AK14" s="3">
        <v>48.3</v>
      </c>
      <c r="AL14" s="3">
        <v>35.700000000000003</v>
      </c>
      <c r="AM14" s="3">
        <v>80.5</v>
      </c>
      <c r="AN14" s="3"/>
      <c r="AO14" s="3">
        <v>0</v>
      </c>
      <c r="AQ14" s="3">
        <v>44</v>
      </c>
      <c r="AR14" s="3">
        <v>30</v>
      </c>
      <c r="AS14" s="3">
        <v>24.4</v>
      </c>
      <c r="AT14" s="3">
        <v>54.7</v>
      </c>
      <c r="AU14" s="3">
        <v>28.9</v>
      </c>
      <c r="AV14" s="3">
        <v>-38.200000000000003</v>
      </c>
      <c r="AW14" s="3">
        <v>57.9</v>
      </c>
      <c r="AX14" s="3">
        <v>25.9</v>
      </c>
      <c r="AY14" s="3">
        <v>-91.2</v>
      </c>
      <c r="AZ14" s="3">
        <v>34.299999999999997</v>
      </c>
      <c r="BA14" s="3">
        <v>88.7</v>
      </c>
      <c r="BB14" s="3">
        <v>82.9</v>
      </c>
      <c r="BC14" s="3">
        <v>24.3</v>
      </c>
      <c r="BD14" s="3">
        <v>68.900000000000006</v>
      </c>
      <c r="BE14" s="3">
        <v>90</v>
      </c>
      <c r="BF14" s="3"/>
      <c r="BG14" s="3">
        <v>0</v>
      </c>
      <c r="BH14" s="3">
        <v>44.5</v>
      </c>
      <c r="BI14" s="3">
        <v>32.799999999999997</v>
      </c>
      <c r="BJ14" s="3">
        <v>2.81</v>
      </c>
      <c r="BK14" s="3">
        <v>53.9</v>
      </c>
      <c r="BL14" s="3">
        <v>36.299999999999997</v>
      </c>
      <c r="BM14" s="3">
        <v>-54.4</v>
      </c>
      <c r="BN14" s="3">
        <v>50.9</v>
      </c>
      <c r="BO14" s="3">
        <v>53.7</v>
      </c>
      <c r="BP14" s="3">
        <v>-110.7</v>
      </c>
      <c r="BQ14" s="3">
        <v>46.5</v>
      </c>
      <c r="BR14" s="3">
        <v>77</v>
      </c>
      <c r="BS14" s="3">
        <v>84.2</v>
      </c>
      <c r="BT14" s="3">
        <v>20.5</v>
      </c>
      <c r="BU14" s="3">
        <v>56.3</v>
      </c>
      <c r="BV14" s="3">
        <v>87.6</v>
      </c>
      <c r="BW14" s="3"/>
      <c r="BX14" s="3">
        <v>0</v>
      </c>
      <c r="BY14" s="3">
        <f t="shared" si="0"/>
        <v>7</v>
      </c>
      <c r="BZ14" s="13">
        <f t="shared" si="1"/>
        <v>0.49295774647887325</v>
      </c>
      <c r="CA14" s="3">
        <f t="shared" si="2"/>
        <v>20.79</v>
      </c>
      <c r="CB14" s="13">
        <f t="shared" si="3"/>
        <v>-1.26</v>
      </c>
      <c r="CC14" s="3">
        <f t="shared" si="4"/>
        <v>-2</v>
      </c>
      <c r="CD14" s="13">
        <f t="shared" si="5"/>
        <v>3.3613445378151259E-2</v>
      </c>
      <c r="CE14" s="3">
        <f t="shared" si="6"/>
        <v>14.599999999999998</v>
      </c>
      <c r="CF14" s="13">
        <f t="shared" si="7"/>
        <v>0.6576576576576576</v>
      </c>
      <c r="CG14" s="3">
        <f t="shared" si="8"/>
        <v>-25.5</v>
      </c>
      <c r="CH14" s="13">
        <f t="shared" si="9"/>
        <v>0.7306590257879656</v>
      </c>
      <c r="CI14" s="3">
        <f t="shared" si="10"/>
        <v>-6.8000000000000043</v>
      </c>
      <c r="CJ14" s="13">
        <f t="shared" si="11"/>
        <v>0.10510046367851629</v>
      </c>
      <c r="CK14" s="3">
        <f t="shared" si="12"/>
        <v>21.599999999999998</v>
      </c>
      <c r="CL14" s="13">
        <f t="shared" si="13"/>
        <v>0.8571428571428571</v>
      </c>
      <c r="CM14" s="3">
        <f t="shared" si="14"/>
        <v>-27.700000000000003</v>
      </c>
      <c r="CN14" s="13">
        <f t="shared" si="15"/>
        <v>0.31477272727272732</v>
      </c>
      <c r="CO14" s="3">
        <f t="shared" si="16"/>
        <v>2.1000000000000014</v>
      </c>
      <c r="CP14" s="13">
        <f t="shared" si="17"/>
        <v>-3.932584269662924E-2</v>
      </c>
      <c r="CQ14" s="3">
        <f t="shared" si="18"/>
        <v>-10.899999999999991</v>
      </c>
      <c r="CR14" s="13">
        <f t="shared" si="19"/>
        <v>-0.14100905562742552</v>
      </c>
      <c r="CS14" s="3">
        <f t="shared" si="20"/>
        <v>3</v>
      </c>
      <c r="CT14" s="13">
        <f t="shared" si="21"/>
        <v>4.1039671682626545E-2</v>
      </c>
      <c r="CU14" s="3">
        <f t="shared" si="22"/>
        <v>8.2999999999999972</v>
      </c>
      <c r="CV14" s="13">
        <f t="shared" si="23"/>
        <v>0.20749999999999993</v>
      </c>
      <c r="CW14" s="3">
        <f t="shared" si="24"/>
        <v>-28.099999999999994</v>
      </c>
      <c r="CX14" s="13">
        <f t="shared" si="25"/>
        <v>-0.44043887147335414</v>
      </c>
      <c r="CY14" s="3">
        <f t="shared" si="26"/>
        <v>16.700000000000003</v>
      </c>
      <c r="CZ14" s="13">
        <f t="shared" si="27"/>
        <v>0.26175548589341696</v>
      </c>
      <c r="DA14" s="3">
        <f t="shared" si="28"/>
        <v>0</v>
      </c>
      <c r="DB14" s="13" t="e">
        <f t="shared" si="29"/>
        <v>#DIV/0!</v>
      </c>
      <c r="DC14" s="3"/>
      <c r="DD14" s="3"/>
      <c r="DE14" s="3">
        <f t="shared" si="30"/>
        <v>0.5</v>
      </c>
      <c r="DF14" s="13">
        <f t="shared" si="31"/>
        <v>1.1363636363636364E-2</v>
      </c>
      <c r="DG14" s="3">
        <f t="shared" si="32"/>
        <v>2.7999999999999972</v>
      </c>
      <c r="DH14" s="13">
        <f t="shared" si="33"/>
        <v>9.333333333333324E-2</v>
      </c>
      <c r="DI14" s="3">
        <f t="shared" si="34"/>
        <v>-21.59</v>
      </c>
      <c r="DJ14" s="13">
        <f t="shared" si="35"/>
        <v>0.88483606557377059</v>
      </c>
      <c r="DK14" s="3">
        <f t="shared" si="36"/>
        <v>-0.80000000000000426</v>
      </c>
      <c r="DL14" s="13">
        <f t="shared" si="37"/>
        <v>-1.462522851919569E-2</v>
      </c>
      <c r="DM14" s="3">
        <f t="shared" si="38"/>
        <v>7.3999999999999986</v>
      </c>
      <c r="DN14" s="13">
        <f t="shared" si="39"/>
        <v>0.25605536332179929</v>
      </c>
      <c r="DO14" s="3">
        <f t="shared" si="40"/>
        <v>-16.199999999999996</v>
      </c>
      <c r="DP14" s="13">
        <f t="shared" si="41"/>
        <v>-0.42408376963350769</v>
      </c>
      <c r="DQ14" s="3">
        <f t="shared" si="42"/>
        <v>-7</v>
      </c>
      <c r="DR14" s="13">
        <f t="shared" si="43"/>
        <v>-0.12089810017271158</v>
      </c>
      <c r="DS14" s="3">
        <f t="shared" si="44"/>
        <v>27.800000000000004</v>
      </c>
      <c r="DT14" s="13">
        <f t="shared" si="45"/>
        <v>1.0733590733590737</v>
      </c>
      <c r="DU14" s="3">
        <f t="shared" si="46"/>
        <v>-19.5</v>
      </c>
      <c r="DV14" s="13">
        <f t="shared" si="47"/>
        <v>-0.21381578947368421</v>
      </c>
      <c r="DW14" s="3">
        <f t="shared" si="48"/>
        <v>12.200000000000003</v>
      </c>
      <c r="DX14" s="13">
        <f t="shared" si="49"/>
        <v>0.3556851311953354</v>
      </c>
      <c r="DY14" s="3">
        <f t="shared" si="50"/>
        <v>-11.700000000000003</v>
      </c>
      <c r="DZ14" s="13">
        <f t="shared" si="51"/>
        <v>-0.13190529875986473</v>
      </c>
      <c r="EA14" s="3">
        <f t="shared" si="52"/>
        <v>1.2999999999999972</v>
      </c>
      <c r="EB14" s="13">
        <f t="shared" si="53"/>
        <v>1.5681544028950507E-2</v>
      </c>
      <c r="EC14" s="3">
        <f t="shared" si="54"/>
        <v>-3.8000000000000007</v>
      </c>
      <c r="ED14" s="13">
        <f t="shared" si="55"/>
        <v>-0.15637860082304531</v>
      </c>
      <c r="EE14" s="3">
        <f t="shared" si="56"/>
        <v>-12.600000000000009</v>
      </c>
      <c r="EF14" s="13">
        <f t="shared" si="57"/>
        <v>-0.18287373004354146</v>
      </c>
      <c r="EG14" s="3">
        <f t="shared" si="58"/>
        <v>-2.4000000000000057</v>
      </c>
      <c r="EH14" s="13">
        <f t="shared" si="59"/>
        <v>-2.6666666666666731E-2</v>
      </c>
      <c r="EI14" s="3"/>
      <c r="EJ14" s="3"/>
    </row>
    <row r="15" spans="1:140" ht="18.75" x14ac:dyDescent="0.25">
      <c r="A15" s="3">
        <v>10</v>
      </c>
      <c r="B15" s="3" t="s">
        <v>19</v>
      </c>
      <c r="C15" s="3" t="s">
        <v>9</v>
      </c>
      <c r="D15" s="3">
        <v>77</v>
      </c>
      <c r="E15" s="3" t="s">
        <v>16</v>
      </c>
      <c r="G15" s="15"/>
      <c r="H15" s="7"/>
      <c r="I15" s="7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7"/>
      <c r="Z15" s="7"/>
      <c r="AA15" s="7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Q15" s="3">
        <v>78.599999999999994</v>
      </c>
      <c r="AR15" s="3">
        <v>27.1</v>
      </c>
      <c r="AS15" s="3">
        <v>-23.5</v>
      </c>
      <c r="AT15" s="3">
        <v>93.5</v>
      </c>
      <c r="AU15" s="3">
        <v>34.1</v>
      </c>
      <c r="AV15" s="3">
        <v>-84.6</v>
      </c>
      <c r="AW15" s="3">
        <v>101.4</v>
      </c>
      <c r="AX15" s="3">
        <v>44.3</v>
      </c>
      <c r="AY15" s="3">
        <v>-142.6</v>
      </c>
      <c r="AZ15" s="3">
        <v>33</v>
      </c>
      <c r="BA15" s="3">
        <v>78.8</v>
      </c>
      <c r="BB15" s="3">
        <v>67.900000000000006</v>
      </c>
      <c r="BC15" s="3">
        <v>59.7</v>
      </c>
      <c r="BD15" s="3">
        <v>67</v>
      </c>
      <c r="BE15" s="3">
        <v>66.099999999999994</v>
      </c>
      <c r="BF15" s="3"/>
      <c r="BG15" s="3">
        <v>5</v>
      </c>
      <c r="BH15" s="3">
        <v>67.900000000000006</v>
      </c>
      <c r="BI15" s="3">
        <v>38.299999999999997</v>
      </c>
      <c r="BJ15" s="3">
        <v>-70</v>
      </c>
      <c r="BK15" s="3">
        <v>78.8</v>
      </c>
      <c r="BL15" s="3">
        <v>62.3</v>
      </c>
      <c r="BM15" s="3">
        <v>-118</v>
      </c>
      <c r="BN15" s="3">
        <v>77.599999999999994</v>
      </c>
      <c r="BO15" s="3">
        <v>71.2</v>
      </c>
      <c r="BP15" s="3">
        <v>-166.1</v>
      </c>
      <c r="BQ15" s="3">
        <v>45.2</v>
      </c>
      <c r="BR15" s="3">
        <v>71.5</v>
      </c>
      <c r="BS15" s="3">
        <v>73.2</v>
      </c>
      <c r="BT15" s="3">
        <v>45</v>
      </c>
      <c r="BU15" s="3">
        <v>70</v>
      </c>
      <c r="BV15" s="3">
        <v>70.2</v>
      </c>
      <c r="BW15" s="3"/>
      <c r="BX15" s="3">
        <v>5</v>
      </c>
      <c r="BY15" s="3"/>
      <c r="BZ15" s="13"/>
      <c r="CA15" s="3"/>
      <c r="CB15" s="13"/>
      <c r="CC15" s="3"/>
      <c r="CD15" s="13"/>
      <c r="CE15" s="3"/>
      <c r="CF15" s="13"/>
      <c r="CG15" s="3"/>
      <c r="CH15" s="13"/>
      <c r="CI15" s="3"/>
      <c r="CJ15" s="13"/>
      <c r="CK15" s="3"/>
      <c r="CL15" s="13"/>
      <c r="CM15" s="3"/>
      <c r="CN15" s="13"/>
      <c r="CO15" s="3"/>
      <c r="CP15" s="13"/>
      <c r="CQ15" s="3"/>
      <c r="CR15" s="13"/>
      <c r="CS15" s="3"/>
      <c r="CT15" s="13"/>
      <c r="CU15" s="3"/>
      <c r="CV15" s="13"/>
      <c r="CW15" s="3"/>
      <c r="CX15" s="13"/>
      <c r="CY15" s="3"/>
      <c r="CZ15" s="13"/>
      <c r="DA15" s="3"/>
      <c r="DB15" s="13"/>
      <c r="DC15" s="3"/>
      <c r="DD15" s="3"/>
      <c r="DE15" s="3">
        <f t="shared" si="30"/>
        <v>-10.699999999999989</v>
      </c>
      <c r="DF15" s="13">
        <f t="shared" si="31"/>
        <v>-0.13613231552162836</v>
      </c>
      <c r="DG15" s="3">
        <f t="shared" si="32"/>
        <v>11.199999999999996</v>
      </c>
      <c r="DH15" s="13">
        <f t="shared" si="33"/>
        <v>0.41328413284132826</v>
      </c>
      <c r="DI15" s="3">
        <f t="shared" si="34"/>
        <v>-46.5</v>
      </c>
      <c r="DJ15" s="13">
        <f t="shared" si="35"/>
        <v>-1.9787234042553192</v>
      </c>
      <c r="DK15" s="3">
        <f t="shared" si="36"/>
        <v>-14.700000000000003</v>
      </c>
      <c r="DL15" s="13">
        <f t="shared" si="37"/>
        <v>-0.15721925133689843</v>
      </c>
      <c r="DM15" s="3">
        <f t="shared" si="38"/>
        <v>28.199999999999996</v>
      </c>
      <c r="DN15" s="13">
        <f t="shared" si="39"/>
        <v>0.82697947214076228</v>
      </c>
      <c r="DO15" s="3">
        <f t="shared" si="40"/>
        <v>-33.400000000000006</v>
      </c>
      <c r="DP15" s="13">
        <f t="shared" si="41"/>
        <v>-0.39479905437352253</v>
      </c>
      <c r="DQ15" s="3">
        <f t="shared" si="42"/>
        <v>-23.800000000000011</v>
      </c>
      <c r="DR15" s="13">
        <f t="shared" si="43"/>
        <v>-0.23471400394477326</v>
      </c>
      <c r="DS15" s="3">
        <f t="shared" si="44"/>
        <v>26.900000000000006</v>
      </c>
      <c r="DT15" s="13">
        <f t="shared" si="45"/>
        <v>0.60722347629796858</v>
      </c>
      <c r="DU15" s="3">
        <f t="shared" si="46"/>
        <v>-23.5</v>
      </c>
      <c r="DV15" s="13">
        <f t="shared" si="47"/>
        <v>-0.16479663394109398</v>
      </c>
      <c r="DW15" s="3">
        <f t="shared" si="48"/>
        <v>12.200000000000003</v>
      </c>
      <c r="DX15" s="13">
        <f t="shared" si="49"/>
        <v>0.3696969696969698</v>
      </c>
      <c r="DY15" s="3">
        <f t="shared" si="50"/>
        <v>-7.2999999999999972</v>
      </c>
      <c r="DZ15" s="13">
        <f t="shared" si="51"/>
        <v>-9.2639593908629414E-2</v>
      </c>
      <c r="EA15" s="3">
        <f t="shared" si="52"/>
        <v>5.2999999999999972</v>
      </c>
      <c r="EB15" s="13">
        <f t="shared" si="53"/>
        <v>7.8055964653902743E-2</v>
      </c>
      <c r="EC15" s="3">
        <f t="shared" si="54"/>
        <v>-14.700000000000003</v>
      </c>
      <c r="ED15" s="13">
        <f t="shared" si="55"/>
        <v>-0.24623115577889451</v>
      </c>
      <c r="EE15" s="3">
        <f t="shared" si="56"/>
        <v>3</v>
      </c>
      <c r="EF15" s="13">
        <f t="shared" si="57"/>
        <v>4.4776119402985072E-2</v>
      </c>
      <c r="EG15" s="3">
        <f t="shared" si="58"/>
        <v>4.1000000000000085</v>
      </c>
      <c r="EH15" s="13">
        <f t="shared" si="59"/>
        <v>6.2027231467473659E-2</v>
      </c>
      <c r="EI15" s="3"/>
      <c r="EJ15" s="3"/>
    </row>
    <row r="16" spans="1:140" ht="18.75" x14ac:dyDescent="0.25">
      <c r="A16" s="3">
        <v>11</v>
      </c>
      <c r="B16" s="3" t="s">
        <v>20</v>
      </c>
      <c r="C16" s="3" t="s">
        <v>6</v>
      </c>
      <c r="D16" s="3">
        <v>77</v>
      </c>
      <c r="E16" s="3" t="s">
        <v>16</v>
      </c>
      <c r="G16" s="15"/>
      <c r="H16" s="3">
        <v>46.9</v>
      </c>
      <c r="I16" s="3">
        <v>28.6</v>
      </c>
      <c r="J16" s="3">
        <v>-26.2</v>
      </c>
      <c r="K16" s="3">
        <v>74.3</v>
      </c>
      <c r="L16" s="3">
        <v>41.8</v>
      </c>
      <c r="M16" s="3">
        <v>-74.2</v>
      </c>
      <c r="N16" s="3">
        <v>73.3</v>
      </c>
      <c r="O16" s="3">
        <v>53.2</v>
      </c>
      <c r="P16" s="3">
        <v>-122.5</v>
      </c>
      <c r="Q16" s="3">
        <v>63.3</v>
      </c>
      <c r="R16" s="3">
        <v>60.4</v>
      </c>
      <c r="S16" s="3">
        <v>65</v>
      </c>
      <c r="T16" s="3">
        <v>52.5</v>
      </c>
      <c r="U16" s="3">
        <v>60</v>
      </c>
      <c r="V16" s="3">
        <v>90</v>
      </c>
      <c r="W16" s="3"/>
      <c r="X16" s="3">
        <v>3</v>
      </c>
      <c r="Y16" s="3">
        <v>51.9</v>
      </c>
      <c r="Z16" s="3">
        <v>34.700000000000003</v>
      </c>
      <c r="AA16" s="3">
        <v>-18.899999999999999</v>
      </c>
      <c r="AB16" s="3">
        <v>70</v>
      </c>
      <c r="AC16" s="3">
        <v>57</v>
      </c>
      <c r="AD16" s="3">
        <v>-74.400000000000006</v>
      </c>
      <c r="AE16" s="3">
        <v>55</v>
      </c>
      <c r="AF16" s="3">
        <v>72.599999999999994</v>
      </c>
      <c r="AG16" s="3">
        <v>-110.1</v>
      </c>
      <c r="AH16" s="3">
        <v>92</v>
      </c>
      <c r="AI16" s="3">
        <v>53.8</v>
      </c>
      <c r="AJ16" s="3">
        <v>68</v>
      </c>
      <c r="AK16" s="3">
        <v>44</v>
      </c>
      <c r="AL16" s="3">
        <v>87.3</v>
      </c>
      <c r="AM16" s="3">
        <v>96</v>
      </c>
      <c r="AN16" s="3"/>
      <c r="AO16" s="3">
        <v>3</v>
      </c>
      <c r="AQ16" s="3">
        <v>66.099999999999994</v>
      </c>
      <c r="AR16" s="3">
        <v>6.48</v>
      </c>
      <c r="AS16" s="3">
        <v>4.3600000000000003</v>
      </c>
      <c r="AT16" s="3">
        <v>76.7</v>
      </c>
      <c r="AU16" s="3">
        <v>24.4</v>
      </c>
      <c r="AV16" s="3">
        <v>-38.200000000000003</v>
      </c>
      <c r="AW16" s="3">
        <v>69.2</v>
      </c>
      <c r="AX16" s="3">
        <v>38.6</v>
      </c>
      <c r="AY16" s="3">
        <v>-93.8</v>
      </c>
      <c r="AZ16" s="3">
        <v>54.2</v>
      </c>
      <c r="BA16" s="3">
        <v>74.400000000000006</v>
      </c>
      <c r="BB16" s="3">
        <v>74.400000000000006</v>
      </c>
      <c r="BC16" s="3">
        <v>31.6</v>
      </c>
      <c r="BD16" s="3">
        <v>93</v>
      </c>
      <c r="BE16" s="3">
        <v>51.7</v>
      </c>
      <c r="BF16" s="3"/>
      <c r="BG16" s="3">
        <v>3</v>
      </c>
      <c r="BH16" s="3">
        <v>63.7</v>
      </c>
      <c r="BI16" s="3">
        <v>12.6</v>
      </c>
      <c r="BJ16" s="3">
        <v>-7.68</v>
      </c>
      <c r="BK16" s="3">
        <v>77.099999999999994</v>
      </c>
      <c r="BL16" s="3">
        <v>32.200000000000003</v>
      </c>
      <c r="BM16" s="3">
        <v>-61.1</v>
      </c>
      <c r="BN16" s="3">
        <v>63.2</v>
      </c>
      <c r="BO16" s="3">
        <v>38.5</v>
      </c>
      <c r="BP16" s="3">
        <v>-112.4</v>
      </c>
      <c r="BQ16" s="3">
        <v>62.7</v>
      </c>
      <c r="BR16" s="3">
        <v>80.099999999999994</v>
      </c>
      <c r="BS16" s="3">
        <v>73.099999999999994</v>
      </c>
      <c r="BT16" s="3">
        <v>28.6</v>
      </c>
      <c r="BU16" s="3">
        <v>99.7</v>
      </c>
      <c r="BV16" s="3">
        <v>112.4</v>
      </c>
      <c r="BW16" s="3"/>
      <c r="BX16" s="3">
        <v>3</v>
      </c>
      <c r="BY16" s="3">
        <f>Z16-I16</f>
        <v>6.1000000000000014</v>
      </c>
      <c r="BZ16" s="13">
        <f>((Z16-I16)/I16)</f>
        <v>0.21328671328671334</v>
      </c>
      <c r="CA16" s="3">
        <f>SUM(AA16)- J16</f>
        <v>7.3000000000000007</v>
      </c>
      <c r="CB16" s="13">
        <f>((AA16-J16)/J16)</f>
        <v>-0.2786259541984733</v>
      </c>
      <c r="CC16" s="3">
        <f>AB16-(K16)</f>
        <v>-4.2999999999999972</v>
      </c>
      <c r="CD16" s="13">
        <f>-((AB16-K16)/K16)</f>
        <v>5.7873485868102252E-2</v>
      </c>
      <c r="CE16" s="3">
        <f>AC16-L16</f>
        <v>15.200000000000003</v>
      </c>
      <c r="CF16" s="13">
        <f>((AC16-L16)/L16)</f>
        <v>0.3636363636363637</v>
      </c>
      <c r="CG16" s="3">
        <f>AD16-M16</f>
        <v>-0.20000000000000284</v>
      </c>
      <c r="CH16" s="13">
        <f>((AD16-M16)/M16)</f>
        <v>2.6954177897574507E-3</v>
      </c>
      <c r="CI16" s="3">
        <f>AE16-(N16)</f>
        <v>-18.299999999999997</v>
      </c>
      <c r="CJ16" s="13">
        <f>-((AE16-N16)/N16)</f>
        <v>0.24965893587994539</v>
      </c>
      <c r="CK16" s="3">
        <f>AF16-O16</f>
        <v>19.399999999999991</v>
      </c>
      <c r="CL16" s="13">
        <f>((AF16-O16)/O16)</f>
        <v>0.36466165413533819</v>
      </c>
      <c r="CM16" s="3">
        <f>AG16-P16</f>
        <v>12.400000000000006</v>
      </c>
      <c r="CN16" s="13">
        <f>((AG16-P16)/P16)</f>
        <v>-0.10122448979591842</v>
      </c>
      <c r="CO16" s="3">
        <f>AH16-(Q16)</f>
        <v>28.700000000000003</v>
      </c>
      <c r="CP16" s="13">
        <f>-((AH16-Q16)/Q16)</f>
        <v>-0.45339652448657197</v>
      </c>
      <c r="CQ16" s="3">
        <f>AI16-R16</f>
        <v>-6.6000000000000014</v>
      </c>
      <c r="CR16" s="13">
        <f>((AI16-R16)/R16)</f>
        <v>-0.10927152317880798</v>
      </c>
      <c r="CS16" s="3">
        <f>AJ16-S16</f>
        <v>3</v>
      </c>
      <c r="CT16" s="13">
        <f>((AJ16-S16)/S16)</f>
        <v>4.6153846153846156E-2</v>
      </c>
      <c r="CU16" s="3">
        <f>AK16-T16</f>
        <v>-8.5</v>
      </c>
      <c r="CV16" s="13">
        <f>((AK16-T16)/T16)</f>
        <v>-0.16190476190476191</v>
      </c>
      <c r="CW16" s="3">
        <f>AL16-U16</f>
        <v>27.299999999999997</v>
      </c>
      <c r="CX16" s="13">
        <f>((AL16-U16)/U16)</f>
        <v>0.45499999999999996</v>
      </c>
      <c r="CY16" s="3">
        <f>AM16-V16</f>
        <v>6</v>
      </c>
      <c r="CZ16" s="13">
        <f>((AM16-V16)/V16)</f>
        <v>6.6666666666666666E-2</v>
      </c>
      <c r="DA16" s="3">
        <f>AN16-W16</f>
        <v>0</v>
      </c>
      <c r="DB16" s="13" t="e">
        <f>((AN16-W16)/W16)</f>
        <v>#DIV/0!</v>
      </c>
      <c r="DC16" s="3"/>
      <c r="DD16" s="3"/>
      <c r="DE16" s="3">
        <f t="shared" si="30"/>
        <v>-2.3999999999999915</v>
      </c>
      <c r="DF16" s="13">
        <f t="shared" si="31"/>
        <v>-3.6308623298033159E-2</v>
      </c>
      <c r="DG16" s="3">
        <f t="shared" si="32"/>
        <v>6.1199999999999992</v>
      </c>
      <c r="DH16" s="13">
        <f t="shared" si="33"/>
        <v>0.94444444444444431</v>
      </c>
      <c r="DI16" s="3">
        <f t="shared" si="34"/>
        <v>-12.04</v>
      </c>
      <c r="DJ16" s="13">
        <f t="shared" si="35"/>
        <v>2.7614678899082565</v>
      </c>
      <c r="DK16" s="3">
        <f t="shared" si="36"/>
        <v>0.39999999999999147</v>
      </c>
      <c r="DL16" s="13">
        <f t="shared" si="37"/>
        <v>5.2151238591915446E-3</v>
      </c>
      <c r="DM16" s="3">
        <f t="shared" si="38"/>
        <v>7.8000000000000043</v>
      </c>
      <c r="DN16" s="13">
        <f t="shared" si="39"/>
        <v>0.31967213114754117</v>
      </c>
      <c r="DO16" s="3">
        <f t="shared" si="40"/>
        <v>-22.9</v>
      </c>
      <c r="DP16" s="13">
        <f t="shared" si="41"/>
        <v>-0.59947643979057585</v>
      </c>
      <c r="DQ16" s="3">
        <f t="shared" si="42"/>
        <v>-6</v>
      </c>
      <c r="DR16" s="13">
        <f t="shared" si="43"/>
        <v>-8.6705202312138727E-2</v>
      </c>
      <c r="DS16" s="3">
        <f t="shared" si="44"/>
        <v>-0.10000000000000142</v>
      </c>
      <c r="DT16" s="13">
        <f t="shared" si="45"/>
        <v>-2.5906735751295702E-3</v>
      </c>
      <c r="DU16" s="3">
        <f t="shared" si="46"/>
        <v>-18.600000000000009</v>
      </c>
      <c r="DV16" s="13">
        <f t="shared" si="47"/>
        <v>-0.19829424307036256</v>
      </c>
      <c r="DW16" s="3">
        <f t="shared" si="48"/>
        <v>8.5</v>
      </c>
      <c r="DX16" s="13">
        <f t="shared" si="49"/>
        <v>0.15682656826568264</v>
      </c>
      <c r="DY16" s="3">
        <f t="shared" si="50"/>
        <v>5.6999999999999886</v>
      </c>
      <c r="DZ16" s="13">
        <f t="shared" si="51"/>
        <v>7.6612903225806286E-2</v>
      </c>
      <c r="EA16" s="3">
        <f t="shared" si="52"/>
        <v>-1.3000000000000114</v>
      </c>
      <c r="EB16" s="13">
        <f t="shared" si="53"/>
        <v>-1.7473118279570043E-2</v>
      </c>
      <c r="EC16" s="3">
        <f t="shared" si="54"/>
        <v>-3</v>
      </c>
      <c r="ED16" s="13">
        <f t="shared" si="55"/>
        <v>-9.4936708860759486E-2</v>
      </c>
      <c r="EE16" s="3">
        <f t="shared" si="56"/>
        <v>6.7000000000000028</v>
      </c>
      <c r="EF16" s="13">
        <f t="shared" si="57"/>
        <v>7.2043010752688208E-2</v>
      </c>
      <c r="EG16" s="3">
        <f t="shared" si="58"/>
        <v>60.7</v>
      </c>
      <c r="EH16" s="13">
        <f t="shared" si="59"/>
        <v>1.174081237911025</v>
      </c>
      <c r="EI16" s="3"/>
      <c r="EJ16" s="3"/>
    </row>
    <row r="17" spans="1:140" ht="18.75" x14ac:dyDescent="0.25">
      <c r="A17" s="3">
        <v>12</v>
      </c>
      <c r="B17" s="3" t="s">
        <v>21</v>
      </c>
      <c r="C17" s="3" t="s">
        <v>9</v>
      </c>
      <c r="D17" s="3">
        <v>42</v>
      </c>
      <c r="E17" s="2" t="s">
        <v>7</v>
      </c>
      <c r="G17" s="15"/>
      <c r="H17" s="3">
        <v>64.3</v>
      </c>
      <c r="I17" s="3">
        <v>35.200000000000003</v>
      </c>
      <c r="J17" s="3">
        <v>-6.52</v>
      </c>
      <c r="K17" s="3">
        <v>78.900000000000006</v>
      </c>
      <c r="L17" s="3">
        <v>33.5</v>
      </c>
      <c r="M17" s="3">
        <v>-62.9</v>
      </c>
      <c r="N17" s="3">
        <v>72.5</v>
      </c>
      <c r="O17" s="3">
        <v>63.1</v>
      </c>
      <c r="P17" s="3">
        <v>-112.7</v>
      </c>
      <c r="Q17" s="3">
        <v>95.8</v>
      </c>
      <c r="R17" s="3">
        <v>62</v>
      </c>
      <c r="S17" s="3">
        <v>75</v>
      </c>
      <c r="T17" s="3">
        <v>41.6</v>
      </c>
      <c r="U17" s="3">
        <v>71</v>
      </c>
      <c r="V17" s="3">
        <v>68.3</v>
      </c>
      <c r="W17" s="3"/>
      <c r="X17" s="3">
        <v>3</v>
      </c>
      <c r="Y17" s="3">
        <v>64.5</v>
      </c>
      <c r="Z17" s="3">
        <v>45</v>
      </c>
      <c r="AA17" s="3">
        <v>-2.71</v>
      </c>
      <c r="AB17" s="3">
        <v>75.2</v>
      </c>
      <c r="AC17" s="3">
        <v>43.6</v>
      </c>
      <c r="AD17" s="3">
        <v>-57.5</v>
      </c>
      <c r="AE17" s="3">
        <v>58</v>
      </c>
      <c r="AF17" s="3">
        <v>68.7</v>
      </c>
      <c r="AG17" s="3">
        <v>-115</v>
      </c>
      <c r="AH17" s="3">
        <v>119.4</v>
      </c>
      <c r="AI17" s="3">
        <v>75.2</v>
      </c>
      <c r="AJ17" s="3">
        <v>77.599999999999994</v>
      </c>
      <c r="AK17" s="3">
        <v>33.6</v>
      </c>
      <c r="AL17" s="3">
        <v>61.1</v>
      </c>
      <c r="AM17" s="3">
        <v>74.7</v>
      </c>
      <c r="AN17" s="3"/>
      <c r="AO17" s="3">
        <v>3</v>
      </c>
      <c r="AQ17" s="3">
        <v>70.7</v>
      </c>
      <c r="AR17" s="3">
        <v>27.1</v>
      </c>
      <c r="AS17" s="3">
        <v>8.75</v>
      </c>
      <c r="AT17" s="3">
        <v>86.5</v>
      </c>
      <c r="AU17" s="3">
        <v>32.200000000000003</v>
      </c>
      <c r="AV17" s="3">
        <v>-48.3</v>
      </c>
      <c r="AW17" s="3">
        <v>83.8</v>
      </c>
      <c r="AX17" s="3">
        <v>32.4</v>
      </c>
      <c r="AY17" s="3">
        <v>-107.6</v>
      </c>
      <c r="AZ17" s="3">
        <v>62.8</v>
      </c>
      <c r="BA17" s="3">
        <v>77.900000000000006</v>
      </c>
      <c r="BB17" s="3">
        <v>71.599999999999994</v>
      </c>
      <c r="BC17" s="3">
        <v>35.9</v>
      </c>
      <c r="BD17" s="3">
        <v>74</v>
      </c>
      <c r="BE17" s="3">
        <v>76.400000000000006</v>
      </c>
      <c r="BF17" s="3"/>
      <c r="BG17" s="3">
        <v>2</v>
      </c>
      <c r="BH17" s="3">
        <v>62.1</v>
      </c>
      <c r="BI17" s="3">
        <v>35.700000000000003</v>
      </c>
      <c r="BJ17" s="3">
        <v>-2</v>
      </c>
      <c r="BK17" s="3">
        <v>74.400000000000006</v>
      </c>
      <c r="BL17" s="3">
        <v>43</v>
      </c>
      <c r="BM17" s="3">
        <v>-63.3</v>
      </c>
      <c r="BN17" s="3">
        <v>75.599999999999994</v>
      </c>
      <c r="BO17" s="3">
        <v>48.3</v>
      </c>
      <c r="BP17" s="3">
        <v>-122.8</v>
      </c>
      <c r="BQ17" s="3">
        <v>67.900000000000006</v>
      </c>
      <c r="BR17" s="3">
        <v>74.3</v>
      </c>
      <c r="BS17" s="3">
        <v>73.3</v>
      </c>
      <c r="BT17" s="3">
        <v>37.6</v>
      </c>
      <c r="BU17" s="3">
        <v>87.3</v>
      </c>
      <c r="BV17" s="3">
        <v>83.4</v>
      </c>
      <c r="BW17" s="3"/>
      <c r="BX17" s="3">
        <v>2</v>
      </c>
      <c r="BY17" s="3">
        <f>Z17-I17</f>
        <v>9.7999999999999972</v>
      </c>
      <c r="BZ17" s="13">
        <f>((Z17-I17)/I17)</f>
        <v>0.27840909090909083</v>
      </c>
      <c r="CA17" s="3">
        <f>SUM(AA17)- J17</f>
        <v>3.8099999999999996</v>
      </c>
      <c r="CB17" s="13">
        <f>((AA17-J17)/J17)</f>
        <v>-0.58435582822085885</v>
      </c>
      <c r="CC17" s="3">
        <f>AB17-(K17)</f>
        <v>-3.7000000000000028</v>
      </c>
      <c r="CD17" s="13">
        <f>-((AB17-K17)/K17)</f>
        <v>4.689480354879598E-2</v>
      </c>
      <c r="CE17" s="3">
        <f>AC17-L17</f>
        <v>10.100000000000001</v>
      </c>
      <c r="CF17" s="13">
        <f>((AC17-L17)/L17)</f>
        <v>0.3014925373134329</v>
      </c>
      <c r="CG17" s="3">
        <f>AD17-M17</f>
        <v>5.3999999999999986</v>
      </c>
      <c r="CH17" s="13">
        <f>((AD17-M17)/M17)</f>
        <v>-8.5850556438791706E-2</v>
      </c>
      <c r="CI17" s="3">
        <f>AE17-(N17)</f>
        <v>-14.5</v>
      </c>
      <c r="CJ17" s="13">
        <f>-((AE17-N17)/N17)</f>
        <v>0.2</v>
      </c>
      <c r="CK17" s="3">
        <f>AF17-O17</f>
        <v>5.6000000000000014</v>
      </c>
      <c r="CL17" s="13">
        <f>((AF17-O17)/O17)</f>
        <v>8.8748019017432664E-2</v>
      </c>
      <c r="CM17" s="3">
        <f>AG17-P17</f>
        <v>-2.2999999999999972</v>
      </c>
      <c r="CN17" s="13">
        <f>((AG17-P17)/P17)</f>
        <v>2.0408163265306097E-2</v>
      </c>
      <c r="CO17" s="3">
        <f>AH17-(Q17)</f>
        <v>23.600000000000009</v>
      </c>
      <c r="CP17" s="13">
        <f>-((AH17-Q17)/Q17)</f>
        <v>-0.2463465553235909</v>
      </c>
      <c r="CQ17" s="3">
        <f>AI17-R17</f>
        <v>13.200000000000003</v>
      </c>
      <c r="CR17" s="13">
        <f>((AI17-R17)/R17)</f>
        <v>0.21290322580645166</v>
      </c>
      <c r="CS17" s="3">
        <f>AJ17-S17</f>
        <v>2.5999999999999943</v>
      </c>
      <c r="CT17" s="13">
        <f>((AJ17-S17)/S17)</f>
        <v>3.4666666666666589E-2</v>
      </c>
      <c r="CU17" s="3">
        <f>AK17-T17</f>
        <v>-8</v>
      </c>
      <c r="CV17" s="13">
        <f>((AK17-T17)/T17)</f>
        <v>-0.19230769230769229</v>
      </c>
      <c r="CW17" s="3">
        <f>AL17-U17</f>
        <v>-9.8999999999999986</v>
      </c>
      <c r="CX17" s="13">
        <f>((AL17-U17)/U17)</f>
        <v>-0.13943661971830984</v>
      </c>
      <c r="CY17" s="3">
        <f>AM17-V17</f>
        <v>6.4000000000000057</v>
      </c>
      <c r="CZ17" s="13">
        <f>((AM17-V17)/V17)</f>
        <v>9.3704245973645767E-2</v>
      </c>
      <c r="DA17" s="3">
        <f>AN17-W17</f>
        <v>0</v>
      </c>
      <c r="DB17" s="13" t="e">
        <f>((AN17-W17)/W17)</f>
        <v>#DIV/0!</v>
      </c>
      <c r="DC17" s="3"/>
      <c r="DD17" s="3"/>
      <c r="DE17" s="3">
        <f t="shared" si="30"/>
        <v>-8.6000000000000014</v>
      </c>
      <c r="DF17" s="13">
        <f t="shared" si="31"/>
        <v>-0.12164073550212165</v>
      </c>
      <c r="DG17" s="3">
        <f t="shared" si="32"/>
        <v>8.6000000000000014</v>
      </c>
      <c r="DH17" s="13">
        <f t="shared" si="33"/>
        <v>0.31734317343173435</v>
      </c>
      <c r="DI17" s="3">
        <f t="shared" si="34"/>
        <v>-10.75</v>
      </c>
      <c r="DJ17" s="13">
        <f t="shared" si="35"/>
        <v>1.2285714285714286</v>
      </c>
      <c r="DK17" s="3">
        <f t="shared" si="36"/>
        <v>-12.099999999999994</v>
      </c>
      <c r="DL17" s="13">
        <f t="shared" si="37"/>
        <v>-0.13988439306358375</v>
      </c>
      <c r="DM17" s="3">
        <f t="shared" si="38"/>
        <v>10.799999999999997</v>
      </c>
      <c r="DN17" s="13">
        <f t="shared" si="39"/>
        <v>0.33540372670807439</v>
      </c>
      <c r="DO17" s="3">
        <f t="shared" si="40"/>
        <v>-15</v>
      </c>
      <c r="DP17" s="13">
        <f t="shared" si="41"/>
        <v>-0.31055900621118016</v>
      </c>
      <c r="DQ17" s="3">
        <f t="shared" si="42"/>
        <v>-8.2000000000000028</v>
      </c>
      <c r="DR17" s="13">
        <f t="shared" si="43"/>
        <v>-9.7852028639618172E-2</v>
      </c>
      <c r="DS17" s="3">
        <f t="shared" si="44"/>
        <v>15.899999999999999</v>
      </c>
      <c r="DT17" s="13">
        <f t="shared" si="45"/>
        <v>0.4907407407407407</v>
      </c>
      <c r="DU17" s="3">
        <f t="shared" si="46"/>
        <v>-15.200000000000003</v>
      </c>
      <c r="DV17" s="13">
        <f t="shared" si="47"/>
        <v>-0.14126394052044614</v>
      </c>
      <c r="DW17" s="3">
        <f t="shared" si="48"/>
        <v>5.1000000000000085</v>
      </c>
      <c r="DX17" s="13">
        <f t="shared" si="49"/>
        <v>8.1210191082802682E-2</v>
      </c>
      <c r="DY17" s="3">
        <f t="shared" si="50"/>
        <v>-3.6000000000000085</v>
      </c>
      <c r="DZ17" s="13">
        <f t="shared" si="51"/>
        <v>-4.6213093709884571E-2</v>
      </c>
      <c r="EA17" s="3">
        <f t="shared" si="52"/>
        <v>1.7000000000000028</v>
      </c>
      <c r="EB17" s="13">
        <f t="shared" si="53"/>
        <v>2.3743016759776577E-2</v>
      </c>
      <c r="EC17" s="3">
        <f t="shared" si="54"/>
        <v>1.7000000000000028</v>
      </c>
      <c r="ED17" s="13">
        <f t="shared" si="55"/>
        <v>4.7353760445682534E-2</v>
      </c>
      <c r="EE17" s="3">
        <f t="shared" si="56"/>
        <v>13.299999999999997</v>
      </c>
      <c r="EF17" s="13">
        <f t="shared" si="57"/>
        <v>0.1797297297297297</v>
      </c>
      <c r="EG17" s="3">
        <f t="shared" si="58"/>
        <v>7</v>
      </c>
      <c r="EH17" s="13">
        <f t="shared" si="59"/>
        <v>9.1623036649214659E-2</v>
      </c>
      <c r="EI17" s="3"/>
      <c r="EJ17" s="3"/>
    </row>
    <row r="18" spans="1:140" ht="18.75" x14ac:dyDescent="0.25">
      <c r="A18" s="3">
        <v>13</v>
      </c>
      <c r="B18" s="3" t="s">
        <v>22</v>
      </c>
      <c r="C18" s="3" t="s">
        <v>6</v>
      </c>
      <c r="D18" s="3">
        <v>58</v>
      </c>
      <c r="E18" s="2" t="s">
        <v>7</v>
      </c>
      <c r="G18" s="15"/>
      <c r="H18" s="3">
        <v>36.700000000000003</v>
      </c>
      <c r="I18" s="3">
        <v>27.4</v>
      </c>
      <c r="J18" s="3">
        <v>5.0199999999999996</v>
      </c>
      <c r="K18" s="3">
        <v>58.9</v>
      </c>
      <c r="L18" s="3">
        <v>25.8</v>
      </c>
      <c r="M18" s="3">
        <v>-50.1</v>
      </c>
      <c r="N18" s="3">
        <v>63.6</v>
      </c>
      <c r="O18" s="3">
        <v>30.8</v>
      </c>
      <c r="P18" s="3">
        <v>-97.8</v>
      </c>
      <c r="Q18" s="3">
        <v>69.599999999999994</v>
      </c>
      <c r="R18" s="3">
        <v>76.599999999999994</v>
      </c>
      <c r="S18" s="3">
        <v>72.099999999999994</v>
      </c>
      <c r="T18" s="3">
        <v>44.5</v>
      </c>
      <c r="U18" s="3">
        <v>60</v>
      </c>
      <c r="V18" s="3">
        <v>76.400000000000006</v>
      </c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Q18" s="3">
        <v>47.9</v>
      </c>
      <c r="AR18" s="3">
        <v>13.2</v>
      </c>
      <c r="AS18" s="3">
        <v>1</v>
      </c>
      <c r="AT18" s="3">
        <v>63.9</v>
      </c>
      <c r="AU18" s="3">
        <v>21.5</v>
      </c>
      <c r="AV18" s="3">
        <v>-55</v>
      </c>
      <c r="AW18" s="3">
        <v>63.5</v>
      </c>
      <c r="AX18" s="3">
        <v>22.5</v>
      </c>
      <c r="AY18" s="3">
        <v>-105</v>
      </c>
      <c r="AZ18" s="3">
        <v>68.900000000000006</v>
      </c>
      <c r="BA18" s="3">
        <v>75.599999999999994</v>
      </c>
      <c r="BB18" s="3">
        <v>77.900000000000006</v>
      </c>
      <c r="BC18" s="3">
        <v>33.1</v>
      </c>
      <c r="BD18" s="3">
        <v>60.3</v>
      </c>
      <c r="BE18" s="3">
        <v>52.6</v>
      </c>
      <c r="BF18" s="3"/>
      <c r="BG18" s="3">
        <v>1</v>
      </c>
      <c r="BH18" s="3">
        <v>41.9</v>
      </c>
      <c r="BI18" s="3">
        <v>21</v>
      </c>
      <c r="BJ18" s="3">
        <v>5</v>
      </c>
      <c r="BK18" s="3">
        <v>58.2</v>
      </c>
      <c r="BL18" s="3">
        <v>27.6</v>
      </c>
      <c r="BM18" s="3">
        <v>-44.2</v>
      </c>
      <c r="BN18" s="3">
        <v>59.4</v>
      </c>
      <c r="BO18" s="3">
        <v>35.1</v>
      </c>
      <c r="BP18" s="3">
        <v>-106.2</v>
      </c>
      <c r="BQ18" s="3">
        <v>69.599999999999994</v>
      </c>
      <c r="BR18" s="3">
        <v>72.3</v>
      </c>
      <c r="BS18" s="3">
        <v>80.8</v>
      </c>
      <c r="BT18" s="3">
        <v>19</v>
      </c>
      <c r="BU18" s="3">
        <v>62</v>
      </c>
      <c r="BV18" s="3">
        <v>66.7</v>
      </c>
      <c r="BW18" s="3"/>
      <c r="BX18" s="3">
        <v>1</v>
      </c>
      <c r="BY18" s="3"/>
      <c r="BZ18" s="13"/>
      <c r="CA18" s="3"/>
      <c r="CB18" s="13"/>
      <c r="CC18" s="3"/>
      <c r="CD18" s="13"/>
      <c r="CE18" s="3"/>
      <c r="CF18" s="13"/>
      <c r="CG18" s="3"/>
      <c r="CH18" s="13"/>
      <c r="CI18" s="3"/>
      <c r="CJ18" s="13"/>
      <c r="CK18" s="3"/>
      <c r="CL18" s="13"/>
      <c r="CM18" s="3"/>
      <c r="CN18" s="13"/>
      <c r="CO18" s="3"/>
      <c r="CP18" s="13"/>
      <c r="CQ18" s="3"/>
      <c r="CR18" s="13"/>
      <c r="CS18" s="3"/>
      <c r="CT18" s="13"/>
      <c r="CU18" s="3"/>
      <c r="CV18" s="13"/>
      <c r="CW18" s="3"/>
      <c r="CX18" s="13"/>
      <c r="CY18" s="3"/>
      <c r="CZ18" s="13"/>
      <c r="DA18" s="3"/>
      <c r="DB18" s="13"/>
      <c r="DC18" s="3"/>
      <c r="DD18" s="3"/>
      <c r="DE18" s="3">
        <f t="shared" si="30"/>
        <v>-6</v>
      </c>
      <c r="DF18" s="13">
        <f t="shared" si="31"/>
        <v>-0.12526096033402923</v>
      </c>
      <c r="DG18" s="3">
        <f t="shared" si="32"/>
        <v>7.8000000000000007</v>
      </c>
      <c r="DH18" s="13">
        <f t="shared" si="33"/>
        <v>0.59090909090909094</v>
      </c>
      <c r="DI18" s="3">
        <f t="shared" si="34"/>
        <v>4</v>
      </c>
      <c r="DJ18" s="13">
        <f t="shared" si="35"/>
        <v>-4</v>
      </c>
      <c r="DK18" s="3">
        <f t="shared" si="36"/>
        <v>-5.6999999999999957</v>
      </c>
      <c r="DL18" s="13">
        <f t="shared" si="37"/>
        <v>-8.9201877934272242E-2</v>
      </c>
      <c r="DM18" s="3">
        <f t="shared" si="38"/>
        <v>6.1000000000000014</v>
      </c>
      <c r="DN18" s="13">
        <f t="shared" si="39"/>
        <v>0.28372093023255823</v>
      </c>
      <c r="DO18" s="3">
        <f t="shared" si="40"/>
        <v>10.799999999999997</v>
      </c>
      <c r="DP18" s="13">
        <f t="shared" si="41"/>
        <v>0.19636363636363632</v>
      </c>
      <c r="DQ18" s="3">
        <f t="shared" si="42"/>
        <v>-4.1000000000000014</v>
      </c>
      <c r="DR18" s="13">
        <f t="shared" si="43"/>
        <v>-6.4566929133858295E-2</v>
      </c>
      <c r="DS18" s="3">
        <f t="shared" si="44"/>
        <v>12.600000000000001</v>
      </c>
      <c r="DT18" s="13">
        <f t="shared" si="45"/>
        <v>0.56000000000000005</v>
      </c>
      <c r="DU18" s="3">
        <f t="shared" si="46"/>
        <v>-1.2000000000000028</v>
      </c>
      <c r="DV18" s="13">
        <f t="shared" si="47"/>
        <v>-1.1428571428571456E-2</v>
      </c>
      <c r="DW18" s="3">
        <f t="shared" si="48"/>
        <v>0.69999999999998863</v>
      </c>
      <c r="DX18" s="13">
        <f t="shared" si="49"/>
        <v>1.0159651669085466E-2</v>
      </c>
      <c r="DY18" s="3">
        <f t="shared" si="50"/>
        <v>-3.2999999999999972</v>
      </c>
      <c r="DZ18" s="13">
        <f t="shared" si="51"/>
        <v>-4.3650793650793614E-2</v>
      </c>
      <c r="EA18" s="3">
        <f t="shared" si="52"/>
        <v>2.8999999999999915</v>
      </c>
      <c r="EB18" s="13">
        <f t="shared" si="53"/>
        <v>3.7227214377406823E-2</v>
      </c>
      <c r="EC18" s="3">
        <f t="shared" si="54"/>
        <v>-14.100000000000001</v>
      </c>
      <c r="ED18" s="13">
        <f t="shared" si="55"/>
        <v>-0.42598187311178248</v>
      </c>
      <c r="EE18" s="3">
        <f t="shared" si="56"/>
        <v>1.7000000000000028</v>
      </c>
      <c r="EF18" s="13">
        <f t="shared" si="57"/>
        <v>2.8192371475953614E-2</v>
      </c>
      <c r="EG18" s="3">
        <f t="shared" si="58"/>
        <v>14.100000000000001</v>
      </c>
      <c r="EH18" s="13">
        <f t="shared" si="59"/>
        <v>0.26806083650190116</v>
      </c>
      <c r="EI18" s="3"/>
      <c r="EJ18" s="3"/>
    </row>
    <row r="19" spans="1:140" ht="18.75" x14ac:dyDescent="0.25">
      <c r="A19" s="3">
        <v>14</v>
      </c>
      <c r="B19" s="3" t="s">
        <v>23</v>
      </c>
      <c r="C19" s="3" t="s">
        <v>6</v>
      </c>
      <c r="D19" s="3">
        <v>74</v>
      </c>
      <c r="E19" s="3" t="s">
        <v>16</v>
      </c>
      <c r="G19" s="15"/>
      <c r="H19" s="3">
        <v>52.2</v>
      </c>
      <c r="I19" s="3">
        <v>13.8</v>
      </c>
      <c r="J19" s="3">
        <v>-42.4</v>
      </c>
      <c r="K19" s="3">
        <v>67</v>
      </c>
      <c r="L19" s="3">
        <v>35.200000000000003</v>
      </c>
      <c r="M19" s="3">
        <v>-96.3</v>
      </c>
      <c r="N19" s="3">
        <v>72.7</v>
      </c>
      <c r="O19" s="3">
        <v>45.5</v>
      </c>
      <c r="P19" s="3">
        <v>-139.6</v>
      </c>
      <c r="Q19" s="3">
        <v>70.7</v>
      </c>
      <c r="R19" s="3">
        <v>67.400000000000006</v>
      </c>
      <c r="S19" s="3">
        <v>76.400000000000006</v>
      </c>
      <c r="T19" s="3">
        <v>38</v>
      </c>
      <c r="U19" s="3">
        <v>50</v>
      </c>
      <c r="V19" s="3">
        <v>56.7</v>
      </c>
      <c r="W19" s="3"/>
      <c r="X19" s="3">
        <v>2</v>
      </c>
      <c r="Y19" s="3">
        <v>52.7</v>
      </c>
      <c r="Z19" s="3">
        <v>19.399999999999999</v>
      </c>
      <c r="AA19" s="3">
        <v>-40</v>
      </c>
      <c r="AB19" s="3">
        <v>65</v>
      </c>
      <c r="AC19" s="3">
        <v>34.700000000000003</v>
      </c>
      <c r="AD19" s="3">
        <v>-89.8</v>
      </c>
      <c r="AE19" s="3">
        <v>63.5</v>
      </c>
      <c r="AF19" s="3">
        <v>48</v>
      </c>
      <c r="AG19" s="3">
        <v>-135.4</v>
      </c>
      <c r="AH19" s="3">
        <v>76</v>
      </c>
      <c r="AI19" s="3">
        <v>74.099999999999994</v>
      </c>
      <c r="AJ19" s="3">
        <v>82.4</v>
      </c>
      <c r="AK19" s="3">
        <v>40.4</v>
      </c>
      <c r="AL19" s="3">
        <v>40</v>
      </c>
      <c r="AM19" s="3">
        <v>64</v>
      </c>
      <c r="AN19" s="3"/>
      <c r="AO19" s="3">
        <v>2</v>
      </c>
      <c r="AQ19" s="3">
        <v>52.4</v>
      </c>
      <c r="AR19" s="3">
        <v>21.4</v>
      </c>
      <c r="AS19" s="3">
        <v>-30</v>
      </c>
      <c r="AT19" s="3">
        <v>64.099999999999994</v>
      </c>
      <c r="AU19" s="3">
        <v>34.4</v>
      </c>
      <c r="AV19" s="3">
        <v>-75.400000000000006</v>
      </c>
      <c r="AW19" s="3">
        <v>63.3</v>
      </c>
      <c r="AX19" s="3">
        <v>51.4</v>
      </c>
      <c r="AY19" s="3">
        <v>-142</v>
      </c>
      <c r="AZ19" s="3">
        <v>43.7</v>
      </c>
      <c r="BA19" s="3">
        <v>76.099999999999994</v>
      </c>
      <c r="BB19" s="3">
        <v>81</v>
      </c>
      <c r="BC19" s="3">
        <v>35</v>
      </c>
      <c r="BD19" s="3">
        <v>75</v>
      </c>
      <c r="BE19" s="3">
        <v>72.5</v>
      </c>
      <c r="BF19" s="3"/>
      <c r="BG19" s="3">
        <v>3</v>
      </c>
      <c r="BH19" s="3">
        <v>57.3</v>
      </c>
      <c r="BI19" s="3">
        <v>33.200000000000003</v>
      </c>
      <c r="BJ19" s="3">
        <v>-43.5</v>
      </c>
      <c r="BK19" s="3">
        <v>58</v>
      </c>
      <c r="BL19" s="3">
        <v>51.3</v>
      </c>
      <c r="BM19" s="3">
        <v>-85.5</v>
      </c>
      <c r="BN19" s="3">
        <v>52.9</v>
      </c>
      <c r="BO19" s="3">
        <v>68</v>
      </c>
      <c r="BP19" s="3">
        <v>-139.1</v>
      </c>
      <c r="BQ19" s="3">
        <v>66.7</v>
      </c>
      <c r="BR19" s="3">
        <v>70.400000000000006</v>
      </c>
      <c r="BS19" s="3">
        <v>96.1</v>
      </c>
      <c r="BT19" s="3">
        <v>30</v>
      </c>
      <c r="BU19" s="3">
        <v>83.9</v>
      </c>
      <c r="BV19" s="3">
        <v>67.8</v>
      </c>
      <c r="BW19" s="3"/>
      <c r="BX19" s="3">
        <v>3</v>
      </c>
      <c r="BY19" s="3">
        <f>Z19-I19</f>
        <v>5.5999999999999979</v>
      </c>
      <c r="BZ19" s="13">
        <f>((Z19-I19)/I19)</f>
        <v>0.40579710144927517</v>
      </c>
      <c r="CA19" s="3">
        <f>SUM(AA19)- J19</f>
        <v>2.3999999999999986</v>
      </c>
      <c r="CB19" s="14">
        <f>((AA19-J19)/J19)</f>
        <v>-5.6603773584905627E-2</v>
      </c>
      <c r="CC19" s="3">
        <f>AB19-(K19)</f>
        <v>-2</v>
      </c>
      <c r="CD19" s="14">
        <f>-((AB19-K19)/K19)</f>
        <v>2.9850746268656716E-2</v>
      </c>
      <c r="CE19" s="3">
        <f>AC19-L19</f>
        <v>-0.5</v>
      </c>
      <c r="CF19" s="14">
        <f>((AC19-L19)/L19)</f>
        <v>-1.4204545454545454E-2</v>
      </c>
      <c r="CG19" s="3">
        <f>AD19-M19</f>
        <v>6.5</v>
      </c>
      <c r="CH19" s="14">
        <f>((AD19-M19)/M19)</f>
        <v>-6.749740394600208E-2</v>
      </c>
      <c r="CI19" s="3">
        <f>AE19-(N19)</f>
        <v>-9.2000000000000028</v>
      </c>
      <c r="CJ19" s="14">
        <f>-((AE19-N19)/N19)</f>
        <v>0.12654745529573594</v>
      </c>
      <c r="CK19" s="3">
        <f>AF19-O19</f>
        <v>2.5</v>
      </c>
      <c r="CL19" s="14">
        <f>((AF19-O19)/O19)</f>
        <v>5.4945054945054944E-2</v>
      </c>
      <c r="CM19" s="3">
        <f>AG19-P19</f>
        <v>4.1999999999999886</v>
      </c>
      <c r="CN19" s="14">
        <f>((AG19-P19)/P19)</f>
        <v>-3.0085959885386739E-2</v>
      </c>
      <c r="CO19" s="3">
        <f>AH19-(Q19)</f>
        <v>5.2999999999999972</v>
      </c>
      <c r="CP19" s="14">
        <f>-((AH19-Q19)/Q19)</f>
        <v>-7.4964639321074916E-2</v>
      </c>
      <c r="CQ19" s="3">
        <f>AI19-R19</f>
        <v>6.6999999999999886</v>
      </c>
      <c r="CR19" s="14">
        <f>((AI19-R19)/R19)</f>
        <v>9.9406528189910803E-2</v>
      </c>
      <c r="CS19" s="3">
        <f>AJ19-S19</f>
        <v>6</v>
      </c>
      <c r="CT19" s="14">
        <f>((AJ19-S19)/S19)</f>
        <v>7.8534031413612565E-2</v>
      </c>
      <c r="CU19" s="3">
        <f>AK19-T19</f>
        <v>2.3999999999999986</v>
      </c>
      <c r="CV19" s="14">
        <f>((AK19-T19)/T19)</f>
        <v>6.3157894736842066E-2</v>
      </c>
      <c r="CW19" s="3">
        <f>AL19-U19</f>
        <v>-10</v>
      </c>
      <c r="CX19" s="14">
        <f>((AL19-U19)/U19)</f>
        <v>-0.2</v>
      </c>
      <c r="CY19" s="3">
        <f>AM19-V19</f>
        <v>7.2999999999999972</v>
      </c>
      <c r="CZ19" s="13">
        <f>((AM19-V19)/V19)</f>
        <v>0.12874779541446202</v>
      </c>
      <c r="DA19" s="3">
        <f>AN19-W19</f>
        <v>0</v>
      </c>
      <c r="DB19" s="13" t="e">
        <f>((AN19-W19)/W19)</f>
        <v>#DIV/0!</v>
      </c>
      <c r="DC19" s="3"/>
      <c r="DD19" s="3"/>
      <c r="DE19" s="3">
        <f t="shared" si="30"/>
        <v>4.8999999999999986</v>
      </c>
      <c r="DF19" s="13">
        <f t="shared" si="31"/>
        <v>9.3511450381679365E-2</v>
      </c>
      <c r="DG19" s="3">
        <f t="shared" si="32"/>
        <v>11.800000000000004</v>
      </c>
      <c r="DH19" s="13">
        <f t="shared" si="33"/>
        <v>0.55140186915887879</v>
      </c>
      <c r="DI19" s="3">
        <f t="shared" si="34"/>
        <v>-13.5</v>
      </c>
      <c r="DJ19" s="13">
        <f t="shared" si="35"/>
        <v>-0.45</v>
      </c>
      <c r="DK19" s="3">
        <f t="shared" si="36"/>
        <v>-6.0999999999999943</v>
      </c>
      <c r="DL19" s="13">
        <f t="shared" si="37"/>
        <v>-9.5163806552262004E-2</v>
      </c>
      <c r="DM19" s="3">
        <f t="shared" si="38"/>
        <v>16.899999999999999</v>
      </c>
      <c r="DN19" s="13">
        <f t="shared" si="39"/>
        <v>0.49127906976744184</v>
      </c>
      <c r="DO19" s="3">
        <f t="shared" si="40"/>
        <v>-10.099999999999994</v>
      </c>
      <c r="DP19" s="13">
        <f t="shared" si="41"/>
        <v>-0.13395225464190974</v>
      </c>
      <c r="DQ19" s="3">
        <f t="shared" si="42"/>
        <v>-10.399999999999999</v>
      </c>
      <c r="DR19" s="13">
        <f t="shared" si="43"/>
        <v>-0.16429699842022116</v>
      </c>
      <c r="DS19" s="3">
        <f t="shared" si="44"/>
        <v>16.600000000000001</v>
      </c>
      <c r="DT19" s="13">
        <f t="shared" si="45"/>
        <v>0.32295719844357978</v>
      </c>
      <c r="DU19" s="3">
        <f t="shared" si="46"/>
        <v>2.9000000000000057</v>
      </c>
      <c r="DV19" s="13">
        <f t="shared" si="47"/>
        <v>2.0422535211267644E-2</v>
      </c>
      <c r="DW19" s="3">
        <f t="shared" si="48"/>
        <v>23</v>
      </c>
      <c r="DX19" s="13">
        <f t="shared" si="49"/>
        <v>0.52631578947368418</v>
      </c>
      <c r="DY19" s="3">
        <f t="shared" si="50"/>
        <v>-5.6999999999999886</v>
      </c>
      <c r="DZ19" s="13">
        <f t="shared" si="51"/>
        <v>-7.4901445466491315E-2</v>
      </c>
      <c r="EA19" s="3">
        <f t="shared" si="52"/>
        <v>15.099999999999994</v>
      </c>
      <c r="EB19" s="13">
        <f t="shared" si="53"/>
        <v>0.18641975308641967</v>
      </c>
      <c r="EC19" s="3">
        <f t="shared" si="54"/>
        <v>-5</v>
      </c>
      <c r="ED19" s="13">
        <f t="shared" si="55"/>
        <v>-0.14285714285714285</v>
      </c>
      <c r="EE19" s="3">
        <f t="shared" si="56"/>
        <v>8.9000000000000057</v>
      </c>
      <c r="EF19" s="13">
        <f t="shared" si="57"/>
        <v>0.11866666666666674</v>
      </c>
      <c r="EG19" s="3">
        <f t="shared" si="58"/>
        <v>-4.7000000000000028</v>
      </c>
      <c r="EH19" s="13">
        <f t="shared" si="59"/>
        <v>-6.482758620689659E-2</v>
      </c>
      <c r="EI19" s="3"/>
      <c r="EJ19" s="3"/>
    </row>
    <row r="20" spans="1:140" ht="18.75" x14ac:dyDescent="0.25">
      <c r="A20" s="3">
        <v>15</v>
      </c>
      <c r="B20" s="3" t="s">
        <v>24</v>
      </c>
      <c r="C20" s="3" t="s">
        <v>6</v>
      </c>
      <c r="D20" s="3">
        <v>62</v>
      </c>
      <c r="E20" s="2" t="s">
        <v>7</v>
      </c>
      <c r="G20" s="15"/>
      <c r="H20" s="3">
        <v>47.2</v>
      </c>
      <c r="I20" s="3">
        <v>38</v>
      </c>
      <c r="J20" s="3">
        <v>7.22</v>
      </c>
      <c r="K20" s="3">
        <v>63.3</v>
      </c>
      <c r="L20" s="3">
        <v>29.2</v>
      </c>
      <c r="M20" s="3">
        <v>-56.9</v>
      </c>
      <c r="N20" s="3">
        <v>64.2</v>
      </c>
      <c r="O20" s="3">
        <v>33.5</v>
      </c>
      <c r="P20" s="3">
        <v>-113.2</v>
      </c>
      <c r="Q20" s="3">
        <v>58.8</v>
      </c>
      <c r="R20" s="3">
        <v>81.5</v>
      </c>
      <c r="S20" s="3">
        <v>77.8</v>
      </c>
      <c r="T20" s="3">
        <v>44.5</v>
      </c>
      <c r="U20" s="3">
        <v>52.8</v>
      </c>
      <c r="V20" s="3">
        <v>76.2</v>
      </c>
      <c r="W20" s="3"/>
      <c r="X20" s="3">
        <v>3</v>
      </c>
      <c r="Y20" s="3">
        <v>44.8</v>
      </c>
      <c r="Z20" s="3">
        <v>43.1</v>
      </c>
      <c r="AA20" s="3">
        <v>10.3</v>
      </c>
      <c r="AB20" s="3">
        <v>59.7</v>
      </c>
      <c r="AC20" s="3">
        <v>38</v>
      </c>
      <c r="AD20" s="3">
        <v>-70.5</v>
      </c>
      <c r="AE20" s="3">
        <v>60.1</v>
      </c>
      <c r="AF20" s="3">
        <v>49.7</v>
      </c>
      <c r="AG20" s="3">
        <v>-132</v>
      </c>
      <c r="AH20" s="3">
        <v>72.7</v>
      </c>
      <c r="AI20" s="3">
        <v>81.7</v>
      </c>
      <c r="AJ20" s="3">
        <v>81.2</v>
      </c>
      <c r="AK20" s="3">
        <v>38.799999999999997</v>
      </c>
      <c r="AL20" s="3">
        <v>43.5</v>
      </c>
      <c r="AM20" s="3">
        <v>71.5</v>
      </c>
      <c r="AN20" s="3"/>
      <c r="AO20" s="3">
        <v>3</v>
      </c>
      <c r="AQ20" s="3">
        <v>46.4</v>
      </c>
      <c r="AR20" s="3">
        <v>41.3</v>
      </c>
      <c r="AS20" s="3">
        <v>23.9</v>
      </c>
      <c r="AT20" s="3">
        <v>67</v>
      </c>
      <c r="AU20" s="3">
        <v>44.8</v>
      </c>
      <c r="AV20" s="3">
        <v>-42.1</v>
      </c>
      <c r="AW20" s="3">
        <v>65.2</v>
      </c>
      <c r="AX20" s="3">
        <v>40.4</v>
      </c>
      <c r="AY20" s="3">
        <v>-95.7</v>
      </c>
      <c r="AZ20" s="3">
        <v>70</v>
      </c>
      <c r="BA20" s="3">
        <v>77.2</v>
      </c>
      <c r="BB20" s="3">
        <v>71.5</v>
      </c>
      <c r="BC20" s="3">
        <v>33.4</v>
      </c>
      <c r="BD20" s="3">
        <v>55</v>
      </c>
      <c r="BE20" s="3">
        <v>78.5</v>
      </c>
      <c r="BF20" s="3"/>
      <c r="BG20" s="3">
        <v>3</v>
      </c>
      <c r="BH20" s="3">
        <v>41.1</v>
      </c>
      <c r="BI20" s="3">
        <v>49.7</v>
      </c>
      <c r="BJ20" s="3">
        <v>5</v>
      </c>
      <c r="BK20" s="3">
        <v>56.4</v>
      </c>
      <c r="BL20" s="3">
        <v>52.4</v>
      </c>
      <c r="BM20" s="3">
        <v>-53.3</v>
      </c>
      <c r="BN20" s="3">
        <v>55</v>
      </c>
      <c r="BO20" s="3">
        <v>56.1</v>
      </c>
      <c r="BP20" s="3">
        <v>-114.2</v>
      </c>
      <c r="BQ20" s="3">
        <v>72.900000000000006</v>
      </c>
      <c r="BR20" s="3">
        <v>77.400000000000006</v>
      </c>
      <c r="BS20" s="3">
        <v>82.1</v>
      </c>
      <c r="BT20" s="3">
        <v>25</v>
      </c>
      <c r="BU20" s="3">
        <v>35</v>
      </c>
      <c r="BV20" s="3">
        <v>107.2</v>
      </c>
      <c r="BW20" s="3"/>
      <c r="BX20" s="3">
        <v>3</v>
      </c>
      <c r="BY20" s="3">
        <f>Z20-I20</f>
        <v>5.1000000000000014</v>
      </c>
      <c r="BZ20" s="13">
        <f>((Z20-I20)/I20)</f>
        <v>0.1342105263157895</v>
      </c>
      <c r="CA20" s="3">
        <f>SUM(AA20)- J20</f>
        <v>3.080000000000001</v>
      </c>
      <c r="CB20" s="14">
        <f>((AA20-J20)/J20)</f>
        <v>0.42659279778393366</v>
      </c>
      <c r="CC20" s="3">
        <f>AB20-(K20)</f>
        <v>-3.5999999999999943</v>
      </c>
      <c r="CD20" s="14">
        <f>-((AB20-K20)/K20)</f>
        <v>5.6872037914691857E-2</v>
      </c>
      <c r="CE20" s="3">
        <f>AC20-L20</f>
        <v>8.8000000000000007</v>
      </c>
      <c r="CF20" s="14">
        <f>((AC20-L20)/L20)</f>
        <v>0.30136986301369867</v>
      </c>
      <c r="CG20" s="3">
        <f>AD20-M20</f>
        <v>-13.600000000000001</v>
      </c>
      <c r="CH20" s="14">
        <f>((AD20-M20)/M20)</f>
        <v>0.23901581722319862</v>
      </c>
      <c r="CI20" s="3">
        <f>AE20-(N20)</f>
        <v>-4.1000000000000014</v>
      </c>
      <c r="CJ20" s="14">
        <f>-((AE20-N20)/N20)</f>
        <v>6.3862928348909678E-2</v>
      </c>
      <c r="CK20" s="3">
        <f>AF20-O20</f>
        <v>16.200000000000003</v>
      </c>
      <c r="CL20" s="14">
        <f>((AF20-O20)/O20)</f>
        <v>0.48358208955223891</v>
      </c>
      <c r="CM20" s="3">
        <f>AG20-P20</f>
        <v>-18.799999999999997</v>
      </c>
      <c r="CN20" s="14">
        <f>((AG20-P20)/P20)</f>
        <v>0.16607773851590102</v>
      </c>
      <c r="CO20" s="3">
        <f>AH20-(Q20)</f>
        <v>13.900000000000006</v>
      </c>
      <c r="CP20" s="14">
        <f>-((AH20-Q20)/Q20)</f>
        <v>-0.23639455782312935</v>
      </c>
      <c r="CQ20" s="3">
        <f>AI20-R20</f>
        <v>0.20000000000000284</v>
      </c>
      <c r="CR20" s="14">
        <f>((AI20-R20)/R20)</f>
        <v>2.4539877300613845E-3</v>
      </c>
      <c r="CS20" s="3">
        <f>AJ20-S20</f>
        <v>3.4000000000000057</v>
      </c>
      <c r="CT20" s="14">
        <f>((AJ20-S20)/S20)</f>
        <v>4.370179948586126E-2</v>
      </c>
      <c r="CU20" s="3">
        <f>AK20-T20</f>
        <v>-5.7000000000000028</v>
      </c>
      <c r="CV20" s="14">
        <f>((AK20-T20)/T20)</f>
        <v>-0.12808988764044951</v>
      </c>
      <c r="CW20" s="3">
        <f>AL20-U20</f>
        <v>-9.2999999999999972</v>
      </c>
      <c r="CX20" s="14">
        <f>((AL20-U20)/U20)</f>
        <v>-0.17613636363636359</v>
      </c>
      <c r="CY20" s="3">
        <f>AM20-V20</f>
        <v>-4.7000000000000028</v>
      </c>
      <c r="CZ20" s="13">
        <f>((AM20-V20)/V20)</f>
        <v>-6.1679790026246753E-2</v>
      </c>
      <c r="DA20" s="3">
        <f>AN20-W20</f>
        <v>0</v>
      </c>
      <c r="DB20" s="13" t="e">
        <f>((AN20-W20)/W20)</f>
        <v>#DIV/0!</v>
      </c>
      <c r="DC20" s="3"/>
      <c r="DD20" s="3"/>
      <c r="DE20" s="3">
        <f t="shared" si="30"/>
        <v>-5.2999999999999972</v>
      </c>
      <c r="DF20" s="13">
        <f t="shared" si="31"/>
        <v>-0.11422413793103442</v>
      </c>
      <c r="DG20" s="3">
        <f t="shared" si="32"/>
        <v>8.4000000000000057</v>
      </c>
      <c r="DH20" s="13">
        <f t="shared" si="33"/>
        <v>0.20338983050847473</v>
      </c>
      <c r="DI20" s="3">
        <f t="shared" si="34"/>
        <v>-18.899999999999999</v>
      </c>
      <c r="DJ20" s="13">
        <f t="shared" si="35"/>
        <v>0.79079497907949792</v>
      </c>
      <c r="DK20" s="3">
        <f t="shared" si="36"/>
        <v>-10.600000000000001</v>
      </c>
      <c r="DL20" s="13">
        <f t="shared" si="37"/>
        <v>-0.15820895522388062</v>
      </c>
      <c r="DM20" s="3">
        <f t="shared" si="38"/>
        <v>7.6000000000000014</v>
      </c>
      <c r="DN20" s="13">
        <f t="shared" si="39"/>
        <v>0.16964285714285718</v>
      </c>
      <c r="DO20" s="3">
        <f t="shared" si="40"/>
        <v>-11.199999999999996</v>
      </c>
      <c r="DP20" s="13">
        <f t="shared" si="41"/>
        <v>-0.26603325415676948</v>
      </c>
      <c r="DQ20" s="3">
        <f t="shared" si="42"/>
        <v>-10.200000000000003</v>
      </c>
      <c r="DR20" s="13">
        <f t="shared" si="43"/>
        <v>-0.15644171779141108</v>
      </c>
      <c r="DS20" s="3">
        <f t="shared" si="44"/>
        <v>15.700000000000003</v>
      </c>
      <c r="DT20" s="13">
        <f t="shared" si="45"/>
        <v>0.38861386138613868</v>
      </c>
      <c r="DU20" s="3">
        <f t="shared" si="46"/>
        <v>-18.5</v>
      </c>
      <c r="DV20" s="13">
        <f t="shared" si="47"/>
        <v>-0.19331243469174503</v>
      </c>
      <c r="DW20" s="3">
        <f t="shared" si="48"/>
        <v>2.9000000000000057</v>
      </c>
      <c r="DX20" s="13">
        <f t="shared" si="49"/>
        <v>4.1428571428571509E-2</v>
      </c>
      <c r="DY20" s="3">
        <f t="shared" si="50"/>
        <v>0.20000000000000284</v>
      </c>
      <c r="DZ20" s="13">
        <f t="shared" si="51"/>
        <v>2.5906735751295702E-3</v>
      </c>
      <c r="EA20" s="3">
        <f t="shared" si="52"/>
        <v>10.599999999999994</v>
      </c>
      <c r="EB20" s="13">
        <f t="shared" si="53"/>
        <v>0.14825174825174817</v>
      </c>
      <c r="EC20" s="3">
        <f t="shared" si="54"/>
        <v>-8.3999999999999986</v>
      </c>
      <c r="ED20" s="13">
        <f t="shared" si="55"/>
        <v>-0.25149700598802394</v>
      </c>
      <c r="EE20" s="3">
        <f t="shared" si="56"/>
        <v>-20</v>
      </c>
      <c r="EF20" s="13">
        <f t="shared" si="57"/>
        <v>-0.36363636363636365</v>
      </c>
      <c r="EG20" s="3">
        <f t="shared" si="58"/>
        <v>28.700000000000003</v>
      </c>
      <c r="EH20" s="13">
        <f t="shared" si="59"/>
        <v>0.3656050955414013</v>
      </c>
      <c r="EI20" s="3"/>
      <c r="EJ20" s="3"/>
    </row>
    <row r="21" spans="1:140" ht="18.75" x14ac:dyDescent="0.25">
      <c r="A21" s="3">
        <v>16</v>
      </c>
      <c r="B21" s="3" t="s">
        <v>25</v>
      </c>
      <c r="C21" s="3" t="s">
        <v>6</v>
      </c>
      <c r="D21" s="3">
        <v>38</v>
      </c>
      <c r="E21" s="3" t="s">
        <v>16</v>
      </c>
      <c r="G21" s="15"/>
      <c r="H21" s="3">
        <v>40.299999999999997</v>
      </c>
      <c r="I21" s="3">
        <v>39.1</v>
      </c>
      <c r="J21" s="3">
        <v>2.58</v>
      </c>
      <c r="K21" s="3">
        <v>71.5</v>
      </c>
      <c r="L21" s="3">
        <v>27.4</v>
      </c>
      <c r="M21" s="3">
        <v>-57.4</v>
      </c>
      <c r="N21" s="3">
        <v>75.2</v>
      </c>
      <c r="O21" s="3">
        <v>28.1</v>
      </c>
      <c r="P21" s="3">
        <v>-112.9</v>
      </c>
      <c r="Q21" s="3">
        <v>25.2</v>
      </c>
      <c r="R21" s="3">
        <v>79.3</v>
      </c>
      <c r="S21" s="3">
        <v>68.7</v>
      </c>
      <c r="T21" s="3">
        <v>41.4</v>
      </c>
      <c r="U21" s="3">
        <v>85</v>
      </c>
      <c r="V21" s="3">
        <v>61.7</v>
      </c>
      <c r="W21" s="3"/>
      <c r="X21" s="3">
        <v>0</v>
      </c>
      <c r="Y21" s="3">
        <v>53.4</v>
      </c>
      <c r="Z21" s="3">
        <v>25.9</v>
      </c>
      <c r="AA21" s="3">
        <v>-19.2</v>
      </c>
      <c r="AB21" s="3">
        <v>60.9</v>
      </c>
      <c r="AC21" s="3">
        <v>38.1</v>
      </c>
      <c r="AD21" s="3">
        <v>-83.4</v>
      </c>
      <c r="AE21" s="3">
        <v>49.7</v>
      </c>
      <c r="AF21" s="3">
        <v>71.599999999999994</v>
      </c>
      <c r="AG21" s="3">
        <v>-140.6</v>
      </c>
      <c r="AH21" s="3">
        <v>60</v>
      </c>
      <c r="AI21" s="3">
        <v>67.8</v>
      </c>
      <c r="AJ21" s="3">
        <v>95</v>
      </c>
      <c r="AK21" s="3">
        <v>68.599999999999994</v>
      </c>
      <c r="AL21" s="3">
        <v>64</v>
      </c>
      <c r="AM21" s="3">
        <v>56</v>
      </c>
      <c r="AN21" s="3"/>
      <c r="AO21" s="3">
        <v>0</v>
      </c>
      <c r="AQ21" s="3">
        <v>46.1</v>
      </c>
      <c r="AR21" s="3">
        <v>34.6</v>
      </c>
      <c r="AS21" s="3">
        <v>-15.4</v>
      </c>
      <c r="AT21" s="3">
        <v>64</v>
      </c>
      <c r="AU21" s="3">
        <v>30</v>
      </c>
      <c r="AV21" s="3">
        <v>-73.2</v>
      </c>
      <c r="AW21" s="3">
        <v>67</v>
      </c>
      <c r="AX21" s="3">
        <v>38.6</v>
      </c>
      <c r="AY21" s="3">
        <v>-131.5</v>
      </c>
      <c r="AZ21" s="3">
        <v>35</v>
      </c>
      <c r="BA21" s="3">
        <v>85.2</v>
      </c>
      <c r="BB21" s="3">
        <v>77</v>
      </c>
      <c r="BC21" s="3">
        <v>24</v>
      </c>
      <c r="BD21" s="3">
        <v>84</v>
      </c>
      <c r="BE21" s="3">
        <v>80</v>
      </c>
      <c r="BF21" s="3"/>
      <c r="BG21" s="3">
        <v>0</v>
      </c>
      <c r="BH21" s="3">
        <v>56.1</v>
      </c>
      <c r="BI21" s="3">
        <v>15.6</v>
      </c>
      <c r="BJ21" s="3">
        <v>-11</v>
      </c>
      <c r="BK21" s="3">
        <v>65.5</v>
      </c>
      <c r="BL21" s="3">
        <v>29.6</v>
      </c>
      <c r="BM21" s="3">
        <v>-68.400000000000006</v>
      </c>
      <c r="BN21" s="3">
        <v>56.9</v>
      </c>
      <c r="BO21" s="3">
        <v>59.2</v>
      </c>
      <c r="BP21" s="3">
        <v>-125</v>
      </c>
      <c r="BQ21" s="3">
        <v>56.6</v>
      </c>
      <c r="BR21" s="3">
        <v>73.099999999999994</v>
      </c>
      <c r="BS21" s="3">
        <v>79.900000000000006</v>
      </c>
      <c r="BT21" s="3">
        <v>35.6</v>
      </c>
      <c r="BU21" s="3">
        <v>80</v>
      </c>
      <c r="BV21" s="3">
        <v>78.5</v>
      </c>
      <c r="BW21" s="3"/>
      <c r="BX21" s="3">
        <v>0</v>
      </c>
      <c r="BY21" s="3">
        <f>Z21-I21</f>
        <v>-13.200000000000003</v>
      </c>
      <c r="BZ21" s="13">
        <f>((Z21-I21)/I21)</f>
        <v>-0.33759590792838878</v>
      </c>
      <c r="CA21" s="3">
        <f>SUM(AA21)- J21</f>
        <v>-21.78</v>
      </c>
      <c r="CB21" s="14">
        <f>((AA21-J21)/J21)</f>
        <v>-8.4418604651162799</v>
      </c>
      <c r="CC21" s="3">
        <f>AB21-(K21)</f>
        <v>-10.600000000000001</v>
      </c>
      <c r="CD21" s="14">
        <f>-((AB21-K21)/K21)</f>
        <v>0.14825174825174828</v>
      </c>
      <c r="CE21" s="3">
        <f>AC21-L21</f>
        <v>10.700000000000003</v>
      </c>
      <c r="CF21" s="14">
        <f>((AC21-L21)/L21)</f>
        <v>0.39051094890510962</v>
      </c>
      <c r="CG21" s="3">
        <f>AD21-M21</f>
        <v>-26.000000000000007</v>
      </c>
      <c r="CH21" s="14">
        <f>((AD21-M21)/M21)</f>
        <v>0.4529616724738677</v>
      </c>
      <c r="CI21" s="3">
        <f>AE21-(N21)</f>
        <v>-25.5</v>
      </c>
      <c r="CJ21" s="14">
        <f>-((AE21-N21)/N21)</f>
        <v>0.33909574468085107</v>
      </c>
      <c r="CK21" s="3">
        <f>AF21-O21</f>
        <v>43.499999999999993</v>
      </c>
      <c r="CL21" s="14">
        <f>((AF21-O21)/O21)</f>
        <v>1.5480427046263341</v>
      </c>
      <c r="CM21" s="3">
        <f>AG21-P21</f>
        <v>-27.699999999999989</v>
      </c>
      <c r="CN21" s="14">
        <f>((AG21-P21)/P21)</f>
        <v>0.24534986713906101</v>
      </c>
      <c r="CO21" s="3">
        <f>AH21-(Q21)</f>
        <v>34.799999999999997</v>
      </c>
      <c r="CP21" s="14">
        <f>-((AH21-Q21)/Q21)</f>
        <v>-1.3809523809523809</v>
      </c>
      <c r="CQ21" s="3">
        <f>AI21-R21</f>
        <v>-11.5</v>
      </c>
      <c r="CR21" s="14">
        <f>((AI21-R21)/R21)</f>
        <v>-0.1450189155107188</v>
      </c>
      <c r="CS21" s="3">
        <f>AJ21-S21</f>
        <v>26.299999999999997</v>
      </c>
      <c r="CT21" s="14">
        <f>((AJ21-S21)/S21)</f>
        <v>0.38282387190684131</v>
      </c>
      <c r="CU21" s="3">
        <f>AK21-T21</f>
        <v>27.199999999999996</v>
      </c>
      <c r="CV21" s="14">
        <f>((AK21-T21)/T21)</f>
        <v>0.65700483091787432</v>
      </c>
      <c r="CW21" s="3">
        <f>AL21-U21</f>
        <v>-21</v>
      </c>
      <c r="CX21" s="14">
        <f>((AL21-U21)/U21)</f>
        <v>-0.24705882352941178</v>
      </c>
      <c r="CY21" s="3">
        <f>AM21-V21</f>
        <v>-5.7000000000000028</v>
      </c>
      <c r="CZ21" s="13">
        <f>((AM21-V21)/V21)</f>
        <v>-9.238249594813619E-2</v>
      </c>
      <c r="DA21" s="3">
        <f>AN21-W21</f>
        <v>0</v>
      </c>
      <c r="DB21" s="13" t="e">
        <f>((AN21-W21)/W21)</f>
        <v>#DIV/0!</v>
      </c>
      <c r="DC21" s="3"/>
      <c r="DD21" s="3"/>
      <c r="DE21" s="3">
        <f t="shared" si="30"/>
        <v>10</v>
      </c>
      <c r="DF21" s="13">
        <f t="shared" si="31"/>
        <v>0.21691973969631237</v>
      </c>
      <c r="DG21" s="3">
        <f t="shared" si="32"/>
        <v>-19</v>
      </c>
      <c r="DH21" s="13">
        <f t="shared" si="33"/>
        <v>-0.54913294797687862</v>
      </c>
      <c r="DI21" s="3">
        <f t="shared" si="34"/>
        <v>4.4000000000000004</v>
      </c>
      <c r="DJ21" s="13">
        <f t="shared" si="35"/>
        <v>0.28571428571428575</v>
      </c>
      <c r="DK21" s="3">
        <f t="shared" si="36"/>
        <v>1.5</v>
      </c>
      <c r="DL21" s="13">
        <f t="shared" si="37"/>
        <v>2.34375E-2</v>
      </c>
      <c r="DM21" s="3">
        <f t="shared" si="38"/>
        <v>-0.39999999999999858</v>
      </c>
      <c r="DN21" s="13">
        <f t="shared" si="39"/>
        <v>-1.3333333333333286E-2</v>
      </c>
      <c r="DO21" s="3">
        <f t="shared" si="40"/>
        <v>4.7999999999999972</v>
      </c>
      <c r="DP21" s="13">
        <f t="shared" si="41"/>
        <v>6.557377049180324E-2</v>
      </c>
      <c r="DQ21" s="3">
        <f t="shared" si="42"/>
        <v>-10.100000000000001</v>
      </c>
      <c r="DR21" s="13">
        <f t="shared" si="43"/>
        <v>-0.15074626865671645</v>
      </c>
      <c r="DS21" s="3">
        <f t="shared" si="44"/>
        <v>20.6</v>
      </c>
      <c r="DT21" s="13">
        <f t="shared" si="45"/>
        <v>0.53367875647668395</v>
      </c>
      <c r="DU21" s="3">
        <f t="shared" si="46"/>
        <v>6.5</v>
      </c>
      <c r="DV21" s="13">
        <f t="shared" si="47"/>
        <v>4.9429657794676805E-2</v>
      </c>
      <c r="DW21" s="3">
        <f t="shared" si="48"/>
        <v>21.6</v>
      </c>
      <c r="DX21" s="13">
        <f t="shared" si="49"/>
        <v>0.61714285714285722</v>
      </c>
      <c r="DY21" s="3">
        <f t="shared" si="50"/>
        <v>-12.100000000000009</v>
      </c>
      <c r="DZ21" s="13">
        <f t="shared" si="51"/>
        <v>-0.14201877934272311</v>
      </c>
      <c r="EA21" s="3">
        <f t="shared" si="52"/>
        <v>2.9000000000000057</v>
      </c>
      <c r="EB21" s="13">
        <f t="shared" si="53"/>
        <v>3.7662337662337737E-2</v>
      </c>
      <c r="EC21" s="3">
        <f t="shared" si="54"/>
        <v>11.600000000000001</v>
      </c>
      <c r="ED21" s="13">
        <f t="shared" si="55"/>
        <v>0.48333333333333339</v>
      </c>
      <c r="EE21" s="3">
        <f t="shared" si="56"/>
        <v>-4</v>
      </c>
      <c r="EF21" s="13">
        <f t="shared" si="57"/>
        <v>-4.7619047619047616E-2</v>
      </c>
      <c r="EG21" s="3">
        <f t="shared" si="58"/>
        <v>-1.5</v>
      </c>
      <c r="EH21" s="13">
        <f t="shared" si="59"/>
        <v>-1.8749999999999999E-2</v>
      </c>
      <c r="EI21" s="3"/>
      <c r="EJ21" s="3"/>
    </row>
    <row r="22" spans="1:140" ht="18.75" x14ac:dyDescent="0.25">
      <c r="A22" s="3">
        <v>17</v>
      </c>
      <c r="B22" s="3" t="s">
        <v>26</v>
      </c>
      <c r="C22" s="3" t="s">
        <v>6</v>
      </c>
      <c r="D22" s="3">
        <v>64</v>
      </c>
      <c r="E22" s="3" t="s">
        <v>16</v>
      </c>
      <c r="G22" s="15"/>
      <c r="H22" s="3">
        <v>65.900000000000006</v>
      </c>
      <c r="I22" s="3">
        <v>37.9</v>
      </c>
      <c r="J22" s="3">
        <v>-18.100000000000001</v>
      </c>
      <c r="K22" s="3">
        <v>85.5</v>
      </c>
      <c r="L22" s="3">
        <v>56.4</v>
      </c>
      <c r="M22" s="3">
        <v>-73.8</v>
      </c>
      <c r="N22" s="3">
        <v>94.5</v>
      </c>
      <c r="O22" s="3">
        <v>72.3</v>
      </c>
      <c r="P22" s="3">
        <v>-123.3</v>
      </c>
      <c r="Q22" s="3">
        <v>45.1</v>
      </c>
      <c r="R22" s="3">
        <v>55</v>
      </c>
      <c r="S22" s="3">
        <v>50.4</v>
      </c>
      <c r="T22" s="3">
        <v>75.2</v>
      </c>
      <c r="U22" s="3">
        <v>41.1</v>
      </c>
      <c r="V22" s="3">
        <v>90</v>
      </c>
      <c r="W22" s="3"/>
      <c r="X22" s="3">
        <v>5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>
        <v>5</v>
      </c>
      <c r="AQ22" s="3">
        <v>75.599999999999994</v>
      </c>
      <c r="AR22" s="3">
        <v>38.9</v>
      </c>
      <c r="AS22" s="3">
        <v>-17.600000000000001</v>
      </c>
      <c r="AT22" s="3">
        <v>95.7</v>
      </c>
      <c r="AU22" s="3">
        <v>55.9</v>
      </c>
      <c r="AV22" s="3">
        <v>-68.400000000000006</v>
      </c>
      <c r="AW22" s="3">
        <v>97</v>
      </c>
      <c r="AX22" s="3">
        <v>70</v>
      </c>
      <c r="AY22" s="3">
        <v>-122.9</v>
      </c>
      <c r="AZ22" s="3">
        <v>28</v>
      </c>
      <c r="BA22" s="3">
        <v>62.3</v>
      </c>
      <c r="BB22" s="3">
        <v>62</v>
      </c>
      <c r="BC22" s="3">
        <v>55.3</v>
      </c>
      <c r="BD22" s="3">
        <v>66.8</v>
      </c>
      <c r="BE22" s="3">
        <v>105.6</v>
      </c>
      <c r="BF22" s="3"/>
      <c r="BG22" s="3">
        <v>5</v>
      </c>
      <c r="BH22" s="3">
        <v>65.3</v>
      </c>
      <c r="BI22" s="3">
        <v>54</v>
      </c>
      <c r="BJ22" s="3">
        <v>-26.8</v>
      </c>
      <c r="BK22" s="3">
        <v>81.2</v>
      </c>
      <c r="BL22" s="3">
        <v>70.900000000000006</v>
      </c>
      <c r="BM22" s="3">
        <v>-81.599999999999994</v>
      </c>
      <c r="BN22" s="3">
        <v>67.3</v>
      </c>
      <c r="BO22" s="3">
        <v>84.3</v>
      </c>
      <c r="BP22" s="3">
        <v>-138.80000000000001</v>
      </c>
      <c r="BQ22" s="3">
        <v>52.2</v>
      </c>
      <c r="BR22" s="3">
        <v>68</v>
      </c>
      <c r="BS22" s="3">
        <v>84.2</v>
      </c>
      <c r="BT22" s="3">
        <v>54.5</v>
      </c>
      <c r="BU22" s="3">
        <v>53.2</v>
      </c>
      <c r="BV22" s="3">
        <v>124.7</v>
      </c>
      <c r="BW22" s="3"/>
      <c r="BX22" s="3">
        <v>5</v>
      </c>
      <c r="BY22" s="3"/>
      <c r="BZ22" s="13"/>
      <c r="CA22" s="3"/>
      <c r="CB22" s="14"/>
      <c r="CC22" s="3"/>
      <c r="CD22" s="14"/>
      <c r="CE22" s="3"/>
      <c r="CF22" s="14"/>
      <c r="CG22" s="3"/>
      <c r="CH22" s="14"/>
      <c r="CI22" s="3"/>
      <c r="CJ22" s="14"/>
      <c r="CK22" s="3"/>
      <c r="CL22" s="14"/>
      <c r="CM22" s="3"/>
      <c r="CN22" s="14"/>
      <c r="CO22" s="3"/>
      <c r="CP22" s="14"/>
      <c r="CQ22" s="3"/>
      <c r="CR22" s="14"/>
      <c r="CS22" s="3"/>
      <c r="CT22" s="14"/>
      <c r="CU22" s="3"/>
      <c r="CV22" s="14"/>
      <c r="CW22" s="3"/>
      <c r="CX22" s="14"/>
      <c r="CY22" s="3"/>
      <c r="CZ22" s="13"/>
      <c r="DA22" s="3"/>
      <c r="DB22" s="13"/>
      <c r="DC22" s="3"/>
      <c r="DD22" s="3"/>
      <c r="DE22" s="3">
        <f t="shared" si="30"/>
        <v>-10.299999999999997</v>
      </c>
      <c r="DF22" s="13">
        <f t="shared" si="31"/>
        <v>-0.13624338624338622</v>
      </c>
      <c r="DG22" s="3">
        <f t="shared" si="32"/>
        <v>15.100000000000001</v>
      </c>
      <c r="DH22" s="13">
        <f t="shared" si="33"/>
        <v>0.38817480719794351</v>
      </c>
      <c r="DI22" s="3">
        <f t="shared" si="34"/>
        <v>-9.1999999999999993</v>
      </c>
      <c r="DJ22" s="13">
        <f t="shared" ref="DJ22:DJ27" si="60">-((BJ22-AS22)/AS22)</f>
        <v>-0.5227272727272726</v>
      </c>
      <c r="DK22" s="3">
        <f t="shared" si="36"/>
        <v>-14.5</v>
      </c>
      <c r="DL22" s="13">
        <f t="shared" si="37"/>
        <v>-0.15151515151515152</v>
      </c>
      <c r="DM22" s="3">
        <f t="shared" si="38"/>
        <v>15.000000000000007</v>
      </c>
      <c r="DN22" s="13">
        <f t="shared" si="39"/>
        <v>0.2683363148479429</v>
      </c>
      <c r="DO22" s="3">
        <f t="shared" si="40"/>
        <v>-13.199999999999989</v>
      </c>
      <c r="DP22" s="13">
        <f t="shared" si="41"/>
        <v>-0.1929824561403507</v>
      </c>
      <c r="DQ22" s="3">
        <f t="shared" si="42"/>
        <v>-29.700000000000003</v>
      </c>
      <c r="DR22" s="13">
        <f t="shared" si="43"/>
        <v>-0.3061855670103093</v>
      </c>
      <c r="DS22" s="3">
        <f t="shared" si="44"/>
        <v>14.299999999999997</v>
      </c>
      <c r="DT22" s="13">
        <f t="shared" si="45"/>
        <v>0.20428571428571424</v>
      </c>
      <c r="DU22" s="3">
        <f t="shared" si="46"/>
        <v>-15.900000000000006</v>
      </c>
      <c r="DV22" s="13">
        <f t="shared" si="47"/>
        <v>-0.12937347436940605</v>
      </c>
      <c r="DW22" s="3">
        <f t="shared" si="48"/>
        <v>24.200000000000003</v>
      </c>
      <c r="DX22" s="13">
        <f t="shared" si="49"/>
        <v>0.86428571428571443</v>
      </c>
      <c r="DY22" s="3">
        <f t="shared" si="50"/>
        <v>5.7000000000000028</v>
      </c>
      <c r="DZ22" s="13">
        <f t="shared" si="51"/>
        <v>9.1492776886035368E-2</v>
      </c>
      <c r="EA22" s="3">
        <f t="shared" si="52"/>
        <v>22.200000000000003</v>
      </c>
      <c r="EB22" s="13">
        <f t="shared" si="53"/>
        <v>0.35806451612903228</v>
      </c>
      <c r="EC22" s="3">
        <f t="shared" si="54"/>
        <v>-0.79999999999999716</v>
      </c>
      <c r="ED22" s="13">
        <f t="shared" si="55"/>
        <v>-1.4466546112115682E-2</v>
      </c>
      <c r="EE22" s="3">
        <f t="shared" si="56"/>
        <v>-13.599999999999994</v>
      </c>
      <c r="EF22" s="13">
        <f t="shared" si="57"/>
        <v>-0.2035928143712574</v>
      </c>
      <c r="EG22" s="3">
        <f t="shared" si="58"/>
        <v>19.100000000000009</v>
      </c>
      <c r="EH22" s="13">
        <f t="shared" si="59"/>
        <v>0.18087121212121221</v>
      </c>
      <c r="EI22" s="3"/>
      <c r="EJ22" s="3"/>
    </row>
    <row r="23" spans="1:140" ht="18.75" x14ac:dyDescent="0.25">
      <c r="A23" s="3">
        <v>18</v>
      </c>
      <c r="B23" s="3" t="s">
        <v>27</v>
      </c>
      <c r="C23" s="3" t="s">
        <v>6</v>
      </c>
      <c r="D23" s="3">
        <v>49</v>
      </c>
      <c r="E23" s="2" t="s">
        <v>7</v>
      </c>
      <c r="G23" s="15"/>
      <c r="H23" s="3">
        <v>37.200000000000003</v>
      </c>
      <c r="I23" s="3">
        <v>17.7</v>
      </c>
      <c r="J23" s="3">
        <v>33.299999999999997</v>
      </c>
      <c r="K23" s="3">
        <v>61.2</v>
      </c>
      <c r="L23" s="3">
        <v>7</v>
      </c>
      <c r="M23" s="3">
        <v>-20</v>
      </c>
      <c r="N23" s="3">
        <v>57.1</v>
      </c>
      <c r="O23" s="3">
        <v>6</v>
      </c>
      <c r="P23" s="3">
        <v>-66.5</v>
      </c>
      <c r="Q23" s="3">
        <v>59.9</v>
      </c>
      <c r="R23" s="3">
        <v>82.2</v>
      </c>
      <c r="S23" s="3">
        <v>76.8</v>
      </c>
      <c r="T23" s="3">
        <v>31.9</v>
      </c>
      <c r="U23" s="3">
        <v>52.7</v>
      </c>
      <c r="V23" s="3">
        <v>63.7</v>
      </c>
      <c r="W23" s="8" t="s">
        <v>59</v>
      </c>
      <c r="X23" s="3">
        <v>0</v>
      </c>
      <c r="Y23" s="3">
        <v>37.9</v>
      </c>
      <c r="Z23" s="3">
        <v>16</v>
      </c>
      <c r="AA23" s="3">
        <v>30</v>
      </c>
      <c r="AB23" s="3">
        <v>58.8</v>
      </c>
      <c r="AC23" s="3">
        <v>20</v>
      </c>
      <c r="AD23" s="3">
        <v>-19.2</v>
      </c>
      <c r="AE23" s="3">
        <v>53.6</v>
      </c>
      <c r="AF23" s="3">
        <v>24.5</v>
      </c>
      <c r="AG23" s="3">
        <v>-67</v>
      </c>
      <c r="AH23" s="3">
        <v>32.5</v>
      </c>
      <c r="AI23" s="3">
        <v>71.3</v>
      </c>
      <c r="AJ23" s="3">
        <v>79.400000000000006</v>
      </c>
      <c r="AK23" s="3">
        <v>37</v>
      </c>
      <c r="AL23" s="3">
        <v>40.5</v>
      </c>
      <c r="AM23" s="3">
        <v>62</v>
      </c>
      <c r="AN23" s="8" t="s">
        <v>59</v>
      </c>
      <c r="AO23" s="3">
        <v>0</v>
      </c>
      <c r="AQ23" s="3">
        <v>40.5</v>
      </c>
      <c r="AR23" s="3">
        <v>12</v>
      </c>
      <c r="AS23" s="3">
        <v>27.9</v>
      </c>
      <c r="AT23" s="3">
        <v>60.8</v>
      </c>
      <c r="AU23" s="3">
        <v>15.2</v>
      </c>
      <c r="AV23" s="3">
        <v>-20.3</v>
      </c>
      <c r="AW23" s="3">
        <v>63.9</v>
      </c>
      <c r="AX23" s="3">
        <v>12.9</v>
      </c>
      <c r="AY23" s="3">
        <v>-67.2</v>
      </c>
      <c r="AZ23" s="3">
        <v>68.3</v>
      </c>
      <c r="BA23" s="3">
        <v>80.599999999999994</v>
      </c>
      <c r="BB23" s="3">
        <v>72.599999999999994</v>
      </c>
      <c r="BC23" s="3">
        <v>37.299999999999997</v>
      </c>
      <c r="BD23" s="3">
        <v>70</v>
      </c>
      <c r="BE23" s="3">
        <v>55</v>
      </c>
      <c r="BF23" s="3" t="s">
        <v>82</v>
      </c>
      <c r="BG23" s="3">
        <v>0</v>
      </c>
      <c r="BH23" s="3">
        <v>34.4</v>
      </c>
      <c r="BI23" s="3">
        <v>20</v>
      </c>
      <c r="BJ23" s="3">
        <v>44.2</v>
      </c>
      <c r="BK23" s="3">
        <v>57.7</v>
      </c>
      <c r="BL23" s="3">
        <v>16.3</v>
      </c>
      <c r="BM23" s="3">
        <v>-4.62</v>
      </c>
      <c r="BN23" s="3">
        <v>54.1</v>
      </c>
      <c r="BO23" s="3">
        <v>16.8</v>
      </c>
      <c r="BP23" s="3">
        <v>-49.5</v>
      </c>
      <c r="BQ23" s="3">
        <v>11.8</v>
      </c>
      <c r="BR23" s="3">
        <v>82.3</v>
      </c>
      <c r="BS23" s="3">
        <v>73.3</v>
      </c>
      <c r="BT23" s="3">
        <v>31.6</v>
      </c>
      <c r="BU23" s="3">
        <v>42.4</v>
      </c>
      <c r="BV23" s="3">
        <v>66.099999999999994</v>
      </c>
      <c r="BW23" s="3"/>
      <c r="BX23" s="3">
        <v>0</v>
      </c>
      <c r="BY23" s="3">
        <f t="shared" ref="BY23:BY28" si="61">Z23-I23</f>
        <v>-1.6999999999999993</v>
      </c>
      <c r="BZ23" s="13">
        <f t="shared" ref="BZ23:BZ28" si="62">((Z23-I23)/I23)</f>
        <v>-9.6045197740112956E-2</v>
      </c>
      <c r="CA23" s="3">
        <f t="shared" ref="CA23:CA28" si="63">SUM(AA23)- J23</f>
        <v>-3.2999999999999972</v>
      </c>
      <c r="CB23" s="14">
        <f t="shared" ref="CB23:CB28" si="64">((AA23-J23)/J23)</f>
        <v>-9.9099099099099017E-2</v>
      </c>
      <c r="CC23" s="3">
        <f t="shared" ref="CC23:CC28" si="65">AB23-(K23)</f>
        <v>-2.4000000000000057</v>
      </c>
      <c r="CD23" s="14">
        <f t="shared" ref="CD23:CD28" si="66">-((AB23-K23)/K23)</f>
        <v>3.9215686274509894E-2</v>
      </c>
      <c r="CE23" s="3">
        <f t="shared" ref="CE23:CE28" si="67">AC23-L23</f>
        <v>13</v>
      </c>
      <c r="CF23" s="14">
        <f t="shared" ref="CF23:CF28" si="68">((AC23-L23)/L23)</f>
        <v>1.8571428571428572</v>
      </c>
      <c r="CG23" s="3">
        <f t="shared" ref="CG23:CG28" si="69">AD23-M23</f>
        <v>0.80000000000000071</v>
      </c>
      <c r="CH23" s="14">
        <f t="shared" ref="CH23:CH28" si="70">((AD23-M23)/M23)</f>
        <v>-4.0000000000000036E-2</v>
      </c>
      <c r="CI23" s="3">
        <f t="shared" ref="CI23:CI28" si="71">AE23-(N23)</f>
        <v>-3.5</v>
      </c>
      <c r="CJ23" s="14">
        <f t="shared" ref="CJ23:CJ28" si="72">-((AE23-N23)/N23)</f>
        <v>6.1295971978984239E-2</v>
      </c>
      <c r="CK23" s="3">
        <f t="shared" ref="CK23:CK28" si="73">AF23-O23</f>
        <v>18.5</v>
      </c>
      <c r="CL23" s="14">
        <f t="shared" ref="CL23:CL28" si="74">((AF23-O23)/O23)</f>
        <v>3.0833333333333335</v>
      </c>
      <c r="CM23" s="3">
        <f t="shared" ref="CM23:CM28" si="75">AG23-P23</f>
        <v>-0.5</v>
      </c>
      <c r="CN23" s="14">
        <f t="shared" ref="CN23:CN28" si="76">((AG23-P23)/P23)</f>
        <v>7.5187969924812026E-3</v>
      </c>
      <c r="CO23" s="3">
        <f t="shared" ref="CO23:CO28" si="77">AH23-(Q23)</f>
        <v>-27.4</v>
      </c>
      <c r="CP23" s="14">
        <f t="shared" ref="CP23:CP28" si="78">-((AH23-Q23)/Q23)</f>
        <v>0.45742904841402338</v>
      </c>
      <c r="CQ23" s="3">
        <f t="shared" ref="CQ23:CQ28" si="79">AI23-R23</f>
        <v>-10.900000000000006</v>
      </c>
      <c r="CR23" s="14">
        <f t="shared" ref="CR23:CR28" si="80">((AI23-R23)/R23)</f>
        <v>-0.13260340632603412</v>
      </c>
      <c r="CS23" s="3">
        <f t="shared" ref="CS23:CS28" si="81">AJ23-S23</f>
        <v>2.6000000000000085</v>
      </c>
      <c r="CT23" s="14">
        <f t="shared" ref="CT23:CT28" si="82">((AJ23-S23)/S23)</f>
        <v>3.3854166666666782E-2</v>
      </c>
      <c r="CU23" s="3">
        <f t="shared" ref="CU23:CU28" si="83">AK23-T23</f>
        <v>5.1000000000000014</v>
      </c>
      <c r="CV23" s="14">
        <f t="shared" ref="CV23:CV28" si="84">((AK23-T23)/T23)</f>
        <v>0.15987460815047028</v>
      </c>
      <c r="CW23" s="3">
        <f t="shared" ref="CW23:CW28" si="85">AL23-U23</f>
        <v>-12.200000000000003</v>
      </c>
      <c r="CX23" s="14">
        <f t="shared" ref="CX23:CX28" si="86">((AL23-U23)/U23)</f>
        <v>-0.23149905123339662</v>
      </c>
      <c r="CY23" s="3">
        <f t="shared" ref="CY23:CY28" si="87">AM23-V23</f>
        <v>-1.7000000000000028</v>
      </c>
      <c r="CZ23" s="13">
        <f t="shared" ref="CZ23:CZ28" si="88">((AM23-V23)/V23)</f>
        <v>-2.6687598116169588E-2</v>
      </c>
      <c r="DA23" s="3" t="e">
        <f>AN23-W23</f>
        <v>#VALUE!</v>
      </c>
      <c r="DB23" s="13" t="e">
        <f>((AN23-W23)/W23)</f>
        <v>#VALUE!</v>
      </c>
      <c r="DC23" s="3"/>
      <c r="DD23" s="3"/>
      <c r="DE23" s="3">
        <f t="shared" si="30"/>
        <v>-6.1000000000000014</v>
      </c>
      <c r="DF23" s="13">
        <f t="shared" si="31"/>
        <v>-0.15061728395061733</v>
      </c>
      <c r="DG23" s="3">
        <f t="shared" si="32"/>
        <v>8</v>
      </c>
      <c r="DH23" s="13">
        <f t="shared" si="33"/>
        <v>0.66666666666666663</v>
      </c>
      <c r="DI23" s="3">
        <f t="shared" si="34"/>
        <v>16.300000000000004</v>
      </c>
      <c r="DJ23" s="13">
        <f t="shared" si="60"/>
        <v>-0.58422939068100377</v>
      </c>
      <c r="DK23" s="3">
        <f t="shared" si="36"/>
        <v>-3.0999999999999943</v>
      </c>
      <c r="DL23" s="13">
        <f t="shared" si="37"/>
        <v>-5.0986842105263067E-2</v>
      </c>
      <c r="DM23" s="3">
        <f t="shared" si="38"/>
        <v>1.1000000000000014</v>
      </c>
      <c r="DN23" s="13">
        <f t="shared" si="39"/>
        <v>7.2368421052631679E-2</v>
      </c>
      <c r="DO23" s="3">
        <f t="shared" si="40"/>
        <v>15.68</v>
      </c>
      <c r="DP23" s="13">
        <f t="shared" si="41"/>
        <v>0.77241379310344827</v>
      </c>
      <c r="DQ23" s="3">
        <f t="shared" si="42"/>
        <v>-9.7999999999999972</v>
      </c>
      <c r="DR23" s="13">
        <f t="shared" si="43"/>
        <v>-0.15336463223787164</v>
      </c>
      <c r="DS23" s="3">
        <f t="shared" si="44"/>
        <v>3.9000000000000004</v>
      </c>
      <c r="DT23" s="13">
        <f t="shared" si="45"/>
        <v>0.30232558139534887</v>
      </c>
      <c r="DU23" s="3">
        <f t="shared" si="46"/>
        <v>17.700000000000003</v>
      </c>
      <c r="DV23" s="13">
        <f t="shared" si="47"/>
        <v>0.26339285714285715</v>
      </c>
      <c r="DW23" s="3">
        <f t="shared" si="48"/>
        <v>-56.5</v>
      </c>
      <c r="DX23" s="13">
        <f t="shared" si="49"/>
        <v>-0.82723279648609083</v>
      </c>
      <c r="DY23" s="3">
        <f t="shared" si="50"/>
        <v>1.7000000000000028</v>
      </c>
      <c r="DZ23" s="13">
        <f t="shared" si="51"/>
        <v>2.1091811414392096E-2</v>
      </c>
      <c r="EA23" s="3">
        <f t="shared" si="52"/>
        <v>0.70000000000000284</v>
      </c>
      <c r="EB23" s="13">
        <f t="shared" si="53"/>
        <v>9.6418732782369548E-3</v>
      </c>
      <c r="EC23" s="3">
        <f t="shared" si="54"/>
        <v>-5.6999999999999957</v>
      </c>
      <c r="ED23" s="13">
        <f t="shared" si="55"/>
        <v>-0.15281501340482564</v>
      </c>
      <c r="EE23" s="3">
        <f t="shared" si="56"/>
        <v>-27.6</v>
      </c>
      <c r="EF23" s="13">
        <f t="shared" si="57"/>
        <v>-0.39428571428571429</v>
      </c>
      <c r="EG23" s="3">
        <f t="shared" si="58"/>
        <v>11.099999999999994</v>
      </c>
      <c r="EH23" s="13">
        <f t="shared" si="59"/>
        <v>0.2018181818181817</v>
      </c>
      <c r="EI23" s="3"/>
      <c r="EJ23" s="3"/>
    </row>
    <row r="24" spans="1:140" ht="18.75" x14ac:dyDescent="0.25">
      <c r="A24" s="3">
        <v>19</v>
      </c>
      <c r="B24" s="3" t="s">
        <v>28</v>
      </c>
      <c r="C24" s="3" t="s">
        <v>6</v>
      </c>
      <c r="D24" s="3">
        <v>70</v>
      </c>
      <c r="E24" s="3" t="s">
        <v>29</v>
      </c>
      <c r="G24" s="15"/>
      <c r="H24" s="3">
        <v>43.9</v>
      </c>
      <c r="I24" s="3">
        <v>27.1</v>
      </c>
      <c r="J24" s="3">
        <v>-19.2</v>
      </c>
      <c r="K24" s="3">
        <v>59.9</v>
      </c>
      <c r="L24" s="3">
        <v>30.4</v>
      </c>
      <c r="M24" s="3">
        <v>-68.900000000000006</v>
      </c>
      <c r="N24" s="3">
        <v>57.5</v>
      </c>
      <c r="O24" s="3">
        <v>42.4</v>
      </c>
      <c r="P24" s="3">
        <v>-112.4</v>
      </c>
      <c r="Q24" s="3">
        <v>26.6</v>
      </c>
      <c r="R24" s="3">
        <v>73.3</v>
      </c>
      <c r="S24" s="3">
        <v>78.400000000000006</v>
      </c>
      <c r="T24" s="3">
        <v>50</v>
      </c>
      <c r="U24" s="3">
        <v>30</v>
      </c>
      <c r="V24" s="3">
        <v>40</v>
      </c>
      <c r="W24" s="3" t="s">
        <v>60</v>
      </c>
      <c r="X24" s="3">
        <v>0</v>
      </c>
      <c r="Y24" s="3">
        <v>46.4</v>
      </c>
      <c r="Z24" s="3">
        <v>20</v>
      </c>
      <c r="AA24" s="3">
        <v>-18.600000000000001</v>
      </c>
      <c r="AB24" s="3">
        <v>57.6</v>
      </c>
      <c r="AC24" s="3">
        <v>33.4</v>
      </c>
      <c r="AD24" s="3">
        <v>-69.099999999999994</v>
      </c>
      <c r="AE24" s="3">
        <v>58.2</v>
      </c>
      <c r="AF24" s="3">
        <v>38.6</v>
      </c>
      <c r="AG24" s="3">
        <v>-115.8</v>
      </c>
      <c r="AH24" s="3">
        <v>40.5</v>
      </c>
      <c r="AI24" s="3">
        <v>70</v>
      </c>
      <c r="AJ24" s="3">
        <v>78.400000000000006</v>
      </c>
      <c r="AK24" s="3">
        <v>37.6</v>
      </c>
      <c r="AL24" s="3">
        <v>27.3</v>
      </c>
      <c r="AM24" s="3">
        <v>69</v>
      </c>
      <c r="AN24" s="3" t="s">
        <v>60</v>
      </c>
      <c r="AO24" s="3">
        <v>0</v>
      </c>
      <c r="AQ24" s="3">
        <v>57.1</v>
      </c>
      <c r="AR24" s="3">
        <v>20</v>
      </c>
      <c r="AS24" s="3">
        <v>14.4</v>
      </c>
      <c r="AT24" s="3">
        <v>63</v>
      </c>
      <c r="AU24" s="3">
        <v>18.399999999999999</v>
      </c>
      <c r="AV24" s="3">
        <v>-37.799999999999997</v>
      </c>
      <c r="AW24" s="3">
        <v>57.3</v>
      </c>
      <c r="AX24" s="3">
        <v>25</v>
      </c>
      <c r="AY24" s="3">
        <v>-88.4</v>
      </c>
      <c r="AZ24" s="3">
        <v>37</v>
      </c>
      <c r="BA24" s="3">
        <v>81</v>
      </c>
      <c r="BB24" s="3">
        <v>76.8</v>
      </c>
      <c r="BC24" s="3">
        <v>29.5</v>
      </c>
      <c r="BD24" s="3">
        <v>70</v>
      </c>
      <c r="BE24" s="3">
        <v>57</v>
      </c>
      <c r="BF24" s="3" t="s">
        <v>83</v>
      </c>
      <c r="BG24" s="3">
        <v>0</v>
      </c>
      <c r="BH24" s="3">
        <v>52.6</v>
      </c>
      <c r="BI24" s="3">
        <v>16.5</v>
      </c>
      <c r="BJ24" s="3">
        <v>5.61</v>
      </c>
      <c r="BK24" s="3">
        <v>59.5</v>
      </c>
      <c r="BL24" s="3">
        <v>19.899999999999999</v>
      </c>
      <c r="BM24" s="3">
        <v>-46.4</v>
      </c>
      <c r="BN24" s="3">
        <v>59.5</v>
      </c>
      <c r="BO24" s="3">
        <v>25.1</v>
      </c>
      <c r="BP24" s="3">
        <v>-97.8</v>
      </c>
      <c r="BQ24" s="3">
        <v>21.3</v>
      </c>
      <c r="BR24" s="3">
        <v>75.099999999999994</v>
      </c>
      <c r="BS24" s="3">
        <v>75</v>
      </c>
      <c r="BT24" s="3">
        <v>28.1</v>
      </c>
      <c r="BU24" s="3">
        <v>74.3</v>
      </c>
      <c r="BV24" s="3">
        <v>75.099999999999994</v>
      </c>
      <c r="BW24" s="3"/>
      <c r="BX24" s="3">
        <v>0</v>
      </c>
      <c r="BY24" s="3">
        <f t="shared" si="61"/>
        <v>-7.1000000000000014</v>
      </c>
      <c r="BZ24" s="13">
        <f t="shared" si="62"/>
        <v>-0.26199261992619932</v>
      </c>
      <c r="CA24" s="3">
        <f t="shared" si="63"/>
        <v>0.59999999999999787</v>
      </c>
      <c r="CB24" s="14">
        <f t="shared" si="64"/>
        <v>-3.1249999999999889E-2</v>
      </c>
      <c r="CC24" s="3">
        <f t="shared" si="65"/>
        <v>-2.2999999999999972</v>
      </c>
      <c r="CD24" s="14">
        <f t="shared" si="66"/>
        <v>3.8397328881469066E-2</v>
      </c>
      <c r="CE24" s="3">
        <f t="shared" si="67"/>
        <v>3</v>
      </c>
      <c r="CF24" s="14">
        <f t="shared" si="68"/>
        <v>9.8684210526315791E-2</v>
      </c>
      <c r="CG24" s="3">
        <f t="shared" si="69"/>
        <v>-0.19999999999998863</v>
      </c>
      <c r="CH24" s="14">
        <f t="shared" si="70"/>
        <v>2.9027576197385866E-3</v>
      </c>
      <c r="CI24" s="3">
        <f t="shared" si="71"/>
        <v>0.70000000000000284</v>
      </c>
      <c r="CJ24" s="14">
        <f t="shared" si="72"/>
        <v>-1.2173913043478311E-2</v>
      </c>
      <c r="CK24" s="3">
        <f t="shared" si="73"/>
        <v>-3.7999999999999972</v>
      </c>
      <c r="CL24" s="14">
        <f t="shared" si="74"/>
        <v>-8.9622641509433901E-2</v>
      </c>
      <c r="CM24" s="3">
        <f t="shared" si="75"/>
        <v>-3.3999999999999915</v>
      </c>
      <c r="CN24" s="14">
        <f t="shared" si="76"/>
        <v>3.0249110320284621E-2</v>
      </c>
      <c r="CO24" s="3">
        <f t="shared" si="77"/>
        <v>13.899999999999999</v>
      </c>
      <c r="CP24" s="14">
        <f t="shared" si="78"/>
        <v>-0.52255639097744355</v>
      </c>
      <c r="CQ24" s="3">
        <f t="shared" si="79"/>
        <v>-3.2999999999999972</v>
      </c>
      <c r="CR24" s="14">
        <f t="shared" si="80"/>
        <v>-4.5020463847203235E-2</v>
      </c>
      <c r="CS24" s="3">
        <f t="shared" si="81"/>
        <v>0</v>
      </c>
      <c r="CT24" s="14">
        <f t="shared" si="82"/>
        <v>0</v>
      </c>
      <c r="CU24" s="3">
        <f t="shared" si="83"/>
        <v>-12.399999999999999</v>
      </c>
      <c r="CV24" s="14">
        <f t="shared" si="84"/>
        <v>-0.24799999999999997</v>
      </c>
      <c r="CW24" s="3">
        <f t="shared" si="85"/>
        <v>-2.6999999999999993</v>
      </c>
      <c r="CX24" s="14">
        <f t="shared" si="86"/>
        <v>-8.9999999999999983E-2</v>
      </c>
      <c r="CY24" s="3">
        <f t="shared" si="87"/>
        <v>29</v>
      </c>
      <c r="CZ24" s="14">
        <f t="shared" si="88"/>
        <v>0.72499999999999998</v>
      </c>
      <c r="DA24" s="3" t="e">
        <f>AN24-W24</f>
        <v>#VALUE!</v>
      </c>
      <c r="DB24" s="13" t="e">
        <f>((AN24-W24)/W24)</f>
        <v>#VALUE!</v>
      </c>
      <c r="DC24" s="3"/>
      <c r="DD24" s="3"/>
      <c r="DE24" s="3">
        <f t="shared" si="30"/>
        <v>-4.5</v>
      </c>
      <c r="DF24" s="13">
        <f t="shared" si="31"/>
        <v>-7.8809106830122586E-2</v>
      </c>
      <c r="DG24" s="3">
        <f t="shared" si="32"/>
        <v>-3.5</v>
      </c>
      <c r="DH24" s="13">
        <f t="shared" si="33"/>
        <v>-0.17499999999999999</v>
      </c>
      <c r="DI24" s="3">
        <f t="shared" si="34"/>
        <v>-8.7899999999999991</v>
      </c>
      <c r="DJ24" s="13">
        <f t="shared" si="60"/>
        <v>0.61041666666666661</v>
      </c>
      <c r="DK24" s="3">
        <f t="shared" si="36"/>
        <v>-3.5</v>
      </c>
      <c r="DL24" s="13">
        <f t="shared" si="37"/>
        <v>-5.5555555555555552E-2</v>
      </c>
      <c r="DM24" s="3">
        <f t="shared" si="38"/>
        <v>1.5</v>
      </c>
      <c r="DN24" s="13">
        <f t="shared" si="39"/>
        <v>8.1521739130434784E-2</v>
      </c>
      <c r="DO24" s="3">
        <f t="shared" si="40"/>
        <v>-8.6000000000000014</v>
      </c>
      <c r="DP24" s="13">
        <f t="shared" si="41"/>
        <v>-0.22751322751322756</v>
      </c>
      <c r="DQ24" s="3">
        <f t="shared" si="42"/>
        <v>2.2000000000000028</v>
      </c>
      <c r="DR24" s="13">
        <f t="shared" si="43"/>
        <v>3.8394415357766193E-2</v>
      </c>
      <c r="DS24" s="3">
        <f t="shared" si="44"/>
        <v>0.10000000000000142</v>
      </c>
      <c r="DT24" s="13">
        <f t="shared" si="45"/>
        <v>4.0000000000000565E-3</v>
      </c>
      <c r="DU24" s="3">
        <f t="shared" si="46"/>
        <v>-9.3999999999999915</v>
      </c>
      <c r="DV24" s="13">
        <f t="shared" si="47"/>
        <v>-0.10633484162895918</v>
      </c>
      <c r="DW24" s="3">
        <f t="shared" si="48"/>
        <v>-15.7</v>
      </c>
      <c r="DX24" s="13">
        <f t="shared" si="49"/>
        <v>-0.42432432432432432</v>
      </c>
      <c r="DY24" s="3">
        <f t="shared" si="50"/>
        <v>-5.9000000000000057</v>
      </c>
      <c r="DZ24" s="13">
        <f t="shared" si="51"/>
        <v>-7.2839506172839574E-2</v>
      </c>
      <c r="EA24" s="3">
        <f t="shared" si="52"/>
        <v>-1.7999999999999972</v>
      </c>
      <c r="EB24" s="13">
        <f t="shared" si="53"/>
        <v>-2.3437499999999965E-2</v>
      </c>
      <c r="EC24" s="3">
        <f t="shared" si="54"/>
        <v>-1.3999999999999986</v>
      </c>
      <c r="ED24" s="13">
        <f t="shared" si="55"/>
        <v>-4.745762711864402E-2</v>
      </c>
      <c r="EE24" s="3">
        <f t="shared" si="56"/>
        <v>4.2999999999999972</v>
      </c>
      <c r="EF24" s="13">
        <f t="shared" si="57"/>
        <v>6.1428571428571388E-2</v>
      </c>
      <c r="EG24" s="3">
        <f t="shared" si="58"/>
        <v>18.099999999999994</v>
      </c>
      <c r="EH24" s="13">
        <f t="shared" si="59"/>
        <v>0.31754385964912268</v>
      </c>
      <c r="EI24" s="3"/>
      <c r="EJ24" s="3"/>
    </row>
    <row r="25" spans="1:140" ht="18.75" x14ac:dyDescent="0.25">
      <c r="A25" s="3">
        <v>20</v>
      </c>
      <c r="B25" s="3" t="s">
        <v>30</v>
      </c>
      <c r="C25" s="3" t="s">
        <v>9</v>
      </c>
      <c r="D25" s="3">
        <v>37</v>
      </c>
      <c r="E25" s="3" t="s">
        <v>7</v>
      </c>
      <c r="G25" s="15"/>
      <c r="H25" s="3">
        <v>53.3</v>
      </c>
      <c r="I25" s="3">
        <v>36.1</v>
      </c>
      <c r="J25" s="3">
        <v>-0.1</v>
      </c>
      <c r="K25" s="3">
        <v>65.8</v>
      </c>
      <c r="L25" s="3">
        <v>39.9</v>
      </c>
      <c r="M25" s="3">
        <v>-64.099999999999994</v>
      </c>
      <c r="N25" s="3">
        <v>73.3</v>
      </c>
      <c r="O25" s="3">
        <v>43.4</v>
      </c>
      <c r="P25" s="3">
        <v>-121</v>
      </c>
      <c r="Q25" s="3">
        <v>79.7</v>
      </c>
      <c r="R25" s="3">
        <v>78.400000000000006</v>
      </c>
      <c r="S25" s="3">
        <v>78.2</v>
      </c>
      <c r="T25" s="3">
        <v>51.2</v>
      </c>
      <c r="U25" s="3">
        <v>33.299999999999997</v>
      </c>
      <c r="V25" s="3">
        <v>71</v>
      </c>
      <c r="W25" s="3" t="s">
        <v>61</v>
      </c>
      <c r="X25" s="3">
        <v>1</v>
      </c>
      <c r="Y25" s="3">
        <v>50.6</v>
      </c>
      <c r="Z25" s="3">
        <v>37.9</v>
      </c>
      <c r="AA25" s="3">
        <v>-2.14</v>
      </c>
      <c r="AB25" s="3">
        <v>69.3</v>
      </c>
      <c r="AC25" s="3">
        <v>39.9</v>
      </c>
      <c r="AD25" s="3">
        <v>-65.2</v>
      </c>
      <c r="AE25" s="3">
        <v>66.8</v>
      </c>
      <c r="AF25" s="3">
        <v>45.2</v>
      </c>
      <c r="AG25" s="3">
        <v>-121.2</v>
      </c>
      <c r="AH25" s="3">
        <v>81</v>
      </c>
      <c r="AI25" s="3">
        <v>99.1</v>
      </c>
      <c r="AJ25" s="3">
        <v>83.4</v>
      </c>
      <c r="AK25" s="3">
        <v>42.5</v>
      </c>
      <c r="AL25" s="3">
        <v>40</v>
      </c>
      <c r="AM25" s="3">
        <v>66.2</v>
      </c>
      <c r="AN25" s="3" t="s">
        <v>61</v>
      </c>
      <c r="AO25" s="3">
        <v>1</v>
      </c>
      <c r="AQ25" s="3">
        <v>69</v>
      </c>
      <c r="AR25" s="3">
        <v>1</v>
      </c>
      <c r="AS25" s="3">
        <v>-1</v>
      </c>
      <c r="AT25" s="3">
        <v>88.4</v>
      </c>
      <c r="AU25" s="3">
        <v>22.4</v>
      </c>
      <c r="AV25" s="3">
        <v>-60.2</v>
      </c>
      <c r="AW25" s="3">
        <v>81.400000000000006</v>
      </c>
      <c r="AX25" s="3">
        <v>37.6</v>
      </c>
      <c r="AY25" s="3">
        <v>-118.6</v>
      </c>
      <c r="AZ25" s="3">
        <v>60.9</v>
      </c>
      <c r="BA25" s="3">
        <v>72</v>
      </c>
      <c r="BB25" s="3">
        <v>70.3</v>
      </c>
      <c r="BC25" s="3">
        <v>42.1</v>
      </c>
      <c r="BD25" s="3">
        <v>50</v>
      </c>
      <c r="BE25" s="3">
        <v>54.1</v>
      </c>
      <c r="BF25" s="3" t="s">
        <v>84</v>
      </c>
      <c r="BG25" s="3">
        <v>1</v>
      </c>
      <c r="BH25" s="3">
        <v>62.7</v>
      </c>
      <c r="BI25" s="3">
        <v>14.7</v>
      </c>
      <c r="BJ25" s="3">
        <v>-6.58</v>
      </c>
      <c r="BK25" s="3">
        <v>81.7</v>
      </c>
      <c r="BL25" s="3">
        <v>25.7</v>
      </c>
      <c r="BM25" s="3">
        <v>-65.400000000000006</v>
      </c>
      <c r="BN25" s="3">
        <v>73.099999999999994</v>
      </c>
      <c r="BO25" s="3">
        <v>47.5</v>
      </c>
      <c r="BP25" s="3">
        <v>-128.19999999999999</v>
      </c>
      <c r="BQ25" s="3">
        <v>40</v>
      </c>
      <c r="BR25" s="3">
        <v>68</v>
      </c>
      <c r="BS25" s="3">
        <v>75</v>
      </c>
      <c r="BT25" s="3">
        <v>37</v>
      </c>
      <c r="BU25" s="3">
        <v>55.5</v>
      </c>
      <c r="BV25" s="3">
        <v>68</v>
      </c>
      <c r="BW25" s="3"/>
      <c r="BX25" s="3">
        <v>1</v>
      </c>
      <c r="BY25" s="3">
        <f t="shared" si="61"/>
        <v>1.7999999999999972</v>
      </c>
      <c r="BZ25" s="13">
        <f t="shared" si="62"/>
        <v>4.9861495844875266E-2</v>
      </c>
      <c r="CA25" s="3">
        <f t="shared" si="63"/>
        <v>-2.04</v>
      </c>
      <c r="CB25" s="14">
        <f t="shared" si="64"/>
        <v>20.399999999999999</v>
      </c>
      <c r="CC25" s="3">
        <f t="shared" si="65"/>
        <v>3.5</v>
      </c>
      <c r="CD25" s="14">
        <f t="shared" si="66"/>
        <v>-5.3191489361702128E-2</v>
      </c>
      <c r="CE25" s="3">
        <f t="shared" si="67"/>
        <v>0</v>
      </c>
      <c r="CF25" s="14">
        <f t="shared" si="68"/>
        <v>0</v>
      </c>
      <c r="CG25" s="3">
        <f t="shared" si="69"/>
        <v>-1.1000000000000085</v>
      </c>
      <c r="CH25" s="14">
        <f t="shared" si="70"/>
        <v>1.7160686427457234E-2</v>
      </c>
      <c r="CI25" s="3">
        <f t="shared" si="71"/>
        <v>-6.5</v>
      </c>
      <c r="CJ25" s="14">
        <f t="shared" si="72"/>
        <v>8.8676671214188277E-2</v>
      </c>
      <c r="CK25" s="3">
        <f t="shared" si="73"/>
        <v>1.8000000000000043</v>
      </c>
      <c r="CL25" s="14">
        <f t="shared" si="74"/>
        <v>4.1474654377880282E-2</v>
      </c>
      <c r="CM25" s="3">
        <f t="shared" si="75"/>
        <v>-0.20000000000000284</v>
      </c>
      <c r="CN25" s="14">
        <f t="shared" si="76"/>
        <v>1.6528925619834947E-3</v>
      </c>
      <c r="CO25" s="3">
        <f t="shared" si="77"/>
        <v>1.2999999999999972</v>
      </c>
      <c r="CP25" s="14">
        <f t="shared" si="78"/>
        <v>-1.6311166875784155E-2</v>
      </c>
      <c r="CQ25" s="3">
        <f t="shared" si="79"/>
        <v>20.699999999999989</v>
      </c>
      <c r="CR25" s="14">
        <f t="shared" si="80"/>
        <v>0.26403061224489782</v>
      </c>
      <c r="CS25" s="3">
        <f t="shared" si="81"/>
        <v>5.2000000000000028</v>
      </c>
      <c r="CT25" s="14">
        <f t="shared" si="82"/>
        <v>6.6496163682864484E-2</v>
      </c>
      <c r="CU25" s="3">
        <f t="shared" si="83"/>
        <v>-8.7000000000000028</v>
      </c>
      <c r="CV25" s="14">
        <f t="shared" si="84"/>
        <v>-0.16992187500000006</v>
      </c>
      <c r="CW25" s="3">
        <f t="shared" si="85"/>
        <v>6.7000000000000028</v>
      </c>
      <c r="CX25" s="14">
        <f t="shared" si="86"/>
        <v>0.2012012012012013</v>
      </c>
      <c r="CY25" s="3">
        <f t="shared" si="87"/>
        <v>-4.7999999999999972</v>
      </c>
      <c r="CZ25" s="14">
        <f t="shared" si="88"/>
        <v>-6.7605633802816867E-2</v>
      </c>
      <c r="DA25" s="3" t="e">
        <f>AN25-W25</f>
        <v>#VALUE!</v>
      </c>
      <c r="DB25" s="13" t="e">
        <f>((AN25-W25)/W25)</f>
        <v>#VALUE!</v>
      </c>
      <c r="DC25" s="3"/>
      <c r="DD25" s="3"/>
      <c r="DE25" s="3">
        <f t="shared" si="30"/>
        <v>-6.2999999999999972</v>
      </c>
      <c r="DF25" s="13">
        <f t="shared" si="31"/>
        <v>-9.1304347826086915E-2</v>
      </c>
      <c r="DG25" s="3">
        <f t="shared" si="32"/>
        <v>13.7</v>
      </c>
      <c r="DH25" s="13">
        <f t="shared" si="33"/>
        <v>13.7</v>
      </c>
      <c r="DI25" s="3">
        <f t="shared" si="34"/>
        <v>-5.58</v>
      </c>
      <c r="DJ25" s="13">
        <f t="shared" si="60"/>
        <v>-5.58</v>
      </c>
      <c r="DK25" s="3">
        <f t="shared" si="36"/>
        <v>-6.7000000000000028</v>
      </c>
      <c r="DL25" s="3">
        <f t="shared" si="37"/>
        <v>-7.5791855203619932E-2</v>
      </c>
      <c r="DM25" s="3">
        <f t="shared" si="38"/>
        <v>3.3000000000000007</v>
      </c>
      <c r="DN25" s="13">
        <f t="shared" si="39"/>
        <v>0.1473214285714286</v>
      </c>
      <c r="DO25" s="3">
        <f t="shared" si="40"/>
        <v>-5.2000000000000028</v>
      </c>
      <c r="DP25" s="13">
        <f t="shared" si="41"/>
        <v>-8.6378737541528278E-2</v>
      </c>
      <c r="DQ25" s="3">
        <f t="shared" si="42"/>
        <v>-8.3000000000000114</v>
      </c>
      <c r="DR25" s="13">
        <f t="shared" si="43"/>
        <v>-0.1019656019656021</v>
      </c>
      <c r="DS25" s="3">
        <f t="shared" si="44"/>
        <v>9.8999999999999986</v>
      </c>
      <c r="DT25" s="13">
        <f t="shared" si="45"/>
        <v>0.26329787234042551</v>
      </c>
      <c r="DU25" s="3">
        <f t="shared" si="46"/>
        <v>-9.5999999999999943</v>
      </c>
      <c r="DV25" s="13">
        <f t="shared" si="47"/>
        <v>-8.0944350758853242E-2</v>
      </c>
      <c r="DW25" s="3">
        <f t="shared" si="48"/>
        <v>-20.9</v>
      </c>
      <c r="DX25" s="13">
        <f t="shared" si="49"/>
        <v>-0.34318555008210178</v>
      </c>
      <c r="DY25" s="3">
        <f t="shared" si="50"/>
        <v>-4</v>
      </c>
      <c r="DZ25" s="13">
        <f t="shared" si="51"/>
        <v>-5.5555555555555552E-2</v>
      </c>
      <c r="EA25" s="3">
        <f t="shared" si="52"/>
        <v>4.7000000000000028</v>
      </c>
      <c r="EB25" s="13">
        <f t="shared" si="53"/>
        <v>6.6856330014224793E-2</v>
      </c>
      <c r="EC25" s="3">
        <f t="shared" si="54"/>
        <v>-5.1000000000000014</v>
      </c>
      <c r="ED25" s="13">
        <f t="shared" si="55"/>
        <v>-0.12114014251781476</v>
      </c>
      <c r="EE25" s="3">
        <f t="shared" si="56"/>
        <v>5.5</v>
      </c>
      <c r="EF25" s="13">
        <f t="shared" si="57"/>
        <v>0.11</v>
      </c>
      <c r="EG25" s="3">
        <f t="shared" si="58"/>
        <v>13.899999999999999</v>
      </c>
      <c r="EH25" s="13">
        <f t="shared" si="59"/>
        <v>0.25693160813308685</v>
      </c>
      <c r="EI25" s="3"/>
      <c r="EJ25" s="3"/>
    </row>
    <row r="26" spans="1:140" ht="18.75" x14ac:dyDescent="0.25">
      <c r="A26" s="3">
        <v>21</v>
      </c>
      <c r="B26" s="3" t="s">
        <v>31</v>
      </c>
      <c r="C26" s="3" t="s">
        <v>6</v>
      </c>
      <c r="D26" s="3">
        <v>65</v>
      </c>
      <c r="E26" s="3" t="s">
        <v>16</v>
      </c>
      <c r="G26" s="15"/>
      <c r="H26" s="3">
        <v>77</v>
      </c>
      <c r="I26" s="3">
        <v>50.1</v>
      </c>
      <c r="J26" s="3">
        <v>43.5</v>
      </c>
      <c r="K26" s="3">
        <v>80.3</v>
      </c>
      <c r="L26" s="3">
        <v>29</v>
      </c>
      <c r="M26" s="3">
        <v>-2.82</v>
      </c>
      <c r="N26" s="3">
        <v>73.3</v>
      </c>
      <c r="O26" s="3">
        <v>6.27</v>
      </c>
      <c r="P26" s="3">
        <v>-51.7</v>
      </c>
      <c r="Q26" s="3">
        <v>83.2</v>
      </c>
      <c r="R26" s="3">
        <v>123.8</v>
      </c>
      <c r="S26" s="3">
        <v>96.7</v>
      </c>
      <c r="T26" s="3">
        <v>50.7</v>
      </c>
      <c r="U26" s="3">
        <v>96.2</v>
      </c>
      <c r="V26" s="3">
        <v>72.400000000000006</v>
      </c>
      <c r="W26" s="3" t="s">
        <v>62</v>
      </c>
      <c r="X26" s="3">
        <v>4</v>
      </c>
      <c r="Y26" s="3">
        <v>72.400000000000006</v>
      </c>
      <c r="Z26" s="3">
        <v>39.299999999999997</v>
      </c>
      <c r="AA26" s="3">
        <v>3.13</v>
      </c>
      <c r="AB26" s="3">
        <v>66.900000000000006</v>
      </c>
      <c r="AC26" s="3">
        <v>41.7</v>
      </c>
      <c r="AD26" s="3">
        <v>-47.4</v>
      </c>
      <c r="AE26" s="3">
        <v>58.6</v>
      </c>
      <c r="AF26" s="3">
        <v>36.299999999999997</v>
      </c>
      <c r="AG26" s="3">
        <v>-100.5</v>
      </c>
      <c r="AH26" s="3">
        <v>90</v>
      </c>
      <c r="AI26" s="3">
        <v>97</v>
      </c>
      <c r="AJ26" s="3">
        <v>97.1</v>
      </c>
      <c r="AK26" s="3">
        <v>35</v>
      </c>
      <c r="AL26" s="3">
        <v>67.900000000000006</v>
      </c>
      <c r="AM26" s="3">
        <v>68</v>
      </c>
      <c r="AN26" s="3" t="s">
        <v>62</v>
      </c>
      <c r="AO26" s="3">
        <v>4</v>
      </c>
      <c r="AQ26" s="3">
        <v>68</v>
      </c>
      <c r="AR26" s="3">
        <v>38.5</v>
      </c>
      <c r="AS26" s="3">
        <v>-17.600000000000001</v>
      </c>
      <c r="AT26" s="3">
        <v>70.400000000000006</v>
      </c>
      <c r="AU26" s="3">
        <v>41</v>
      </c>
      <c r="AV26" s="3">
        <v>-69.400000000000006</v>
      </c>
      <c r="AW26" s="3">
        <v>75.2</v>
      </c>
      <c r="AX26" s="3">
        <v>49.9</v>
      </c>
      <c r="AY26" s="3">
        <v>-125.7</v>
      </c>
      <c r="AZ26" s="3">
        <v>78</v>
      </c>
      <c r="BA26" s="3">
        <v>82</v>
      </c>
      <c r="BB26" s="3">
        <v>78.099999999999994</v>
      </c>
      <c r="BC26" s="3">
        <v>39.799999999999997</v>
      </c>
      <c r="BD26" s="3">
        <v>86</v>
      </c>
      <c r="BE26" s="3">
        <v>80</v>
      </c>
      <c r="BF26" s="3" t="s">
        <v>85</v>
      </c>
      <c r="BG26" s="3">
        <v>4</v>
      </c>
      <c r="BH26" s="3">
        <v>59</v>
      </c>
      <c r="BI26" s="3">
        <v>45</v>
      </c>
      <c r="BJ26" s="3">
        <v>-30.9</v>
      </c>
      <c r="BK26" s="3">
        <v>69.7</v>
      </c>
      <c r="BL26" s="3">
        <v>53.1</v>
      </c>
      <c r="BM26" s="3">
        <v>-89</v>
      </c>
      <c r="BN26" s="3">
        <v>71.099999999999994</v>
      </c>
      <c r="BO26" s="3">
        <v>67.400000000000006</v>
      </c>
      <c r="BP26" s="3">
        <v>-145.4</v>
      </c>
      <c r="BQ26" s="3">
        <v>81.5</v>
      </c>
      <c r="BR26" s="3">
        <v>78.3</v>
      </c>
      <c r="BS26" s="3">
        <v>75</v>
      </c>
      <c r="BT26" s="3">
        <v>39.4</v>
      </c>
      <c r="BU26" s="3">
        <v>65.599999999999994</v>
      </c>
      <c r="BV26" s="3">
        <v>112</v>
      </c>
      <c r="BW26" s="3"/>
      <c r="BX26" s="3">
        <v>3</v>
      </c>
      <c r="BY26" s="3">
        <f t="shared" si="61"/>
        <v>-10.800000000000004</v>
      </c>
      <c r="BZ26" s="13">
        <f t="shared" si="62"/>
        <v>-0.21556886227544919</v>
      </c>
      <c r="CA26" s="3">
        <f t="shared" si="63"/>
        <v>-40.369999999999997</v>
      </c>
      <c r="CB26" s="14">
        <f t="shared" si="64"/>
        <v>-0.92804597701149416</v>
      </c>
      <c r="CC26" s="3">
        <f t="shared" si="65"/>
        <v>-13.399999999999991</v>
      </c>
      <c r="CD26" s="14">
        <f t="shared" si="66"/>
        <v>0.16687422166874211</v>
      </c>
      <c r="CE26" s="3">
        <f t="shared" si="67"/>
        <v>12.700000000000003</v>
      </c>
      <c r="CF26" s="14">
        <f t="shared" si="68"/>
        <v>0.43793103448275872</v>
      </c>
      <c r="CG26" s="3">
        <f t="shared" si="69"/>
        <v>-44.58</v>
      </c>
      <c r="CH26" s="14">
        <f t="shared" si="70"/>
        <v>15.808510638297873</v>
      </c>
      <c r="CI26" s="3">
        <f t="shared" si="71"/>
        <v>-14.699999999999996</v>
      </c>
      <c r="CJ26" s="14">
        <f t="shared" si="72"/>
        <v>0.20054570259208726</v>
      </c>
      <c r="CK26" s="3">
        <f t="shared" si="73"/>
        <v>30.029999999999998</v>
      </c>
      <c r="CL26" s="14">
        <f t="shared" si="74"/>
        <v>4.7894736842105265</v>
      </c>
      <c r="CM26" s="3">
        <f t="shared" si="75"/>
        <v>-48.8</v>
      </c>
      <c r="CN26" s="14">
        <f t="shared" si="76"/>
        <v>0.94390715667311398</v>
      </c>
      <c r="CO26" s="3">
        <f t="shared" si="77"/>
        <v>6.7999999999999972</v>
      </c>
      <c r="CP26" s="14">
        <f t="shared" si="78"/>
        <v>-8.173076923076919E-2</v>
      </c>
      <c r="CQ26" s="3">
        <f t="shared" si="79"/>
        <v>-26.799999999999997</v>
      </c>
      <c r="CR26" s="14">
        <f t="shared" si="80"/>
        <v>-0.21647819063004844</v>
      </c>
      <c r="CS26" s="3">
        <f t="shared" si="81"/>
        <v>0.39999999999999147</v>
      </c>
      <c r="CT26" s="14">
        <f t="shared" si="82"/>
        <v>4.1365046535676471E-3</v>
      </c>
      <c r="CU26" s="3">
        <f t="shared" si="83"/>
        <v>-15.700000000000003</v>
      </c>
      <c r="CV26" s="14">
        <f t="shared" si="84"/>
        <v>-0.30966469428007892</v>
      </c>
      <c r="CW26" s="3">
        <f t="shared" si="85"/>
        <v>-28.299999999999997</v>
      </c>
      <c r="CX26" s="14">
        <f t="shared" si="86"/>
        <v>-0.29417879417879417</v>
      </c>
      <c r="CY26" s="3">
        <f t="shared" si="87"/>
        <v>-4.4000000000000057</v>
      </c>
      <c r="CZ26" s="14">
        <f t="shared" si="88"/>
        <v>-6.0773480662983499E-2</v>
      </c>
      <c r="DA26" s="3" t="e">
        <f>AN26-W26</f>
        <v>#VALUE!</v>
      </c>
      <c r="DB26" s="14" t="e">
        <f>((AN26-W26)/W26)</f>
        <v>#VALUE!</v>
      </c>
      <c r="DC26" s="3"/>
      <c r="DD26" s="3"/>
      <c r="DE26" s="3">
        <f t="shared" si="30"/>
        <v>-9</v>
      </c>
      <c r="DF26" s="3">
        <f t="shared" si="31"/>
        <v>-0.13235294117647059</v>
      </c>
      <c r="DG26" s="3">
        <f t="shared" si="32"/>
        <v>6.5</v>
      </c>
      <c r="DH26" s="13">
        <f t="shared" si="33"/>
        <v>0.16883116883116883</v>
      </c>
      <c r="DI26" s="3">
        <f t="shared" si="34"/>
        <v>-13.299999999999997</v>
      </c>
      <c r="DJ26" s="3">
        <f t="shared" si="60"/>
        <v>-0.75568181818181801</v>
      </c>
      <c r="DK26" s="3">
        <f t="shared" si="36"/>
        <v>-0.70000000000000284</v>
      </c>
      <c r="DL26" s="3">
        <f t="shared" si="37"/>
        <v>-9.9431818181818579E-3</v>
      </c>
      <c r="DM26" s="3">
        <f t="shared" si="38"/>
        <v>12.100000000000001</v>
      </c>
      <c r="DN26" s="3">
        <f t="shared" si="39"/>
        <v>0.29512195121951224</v>
      </c>
      <c r="DO26" s="3">
        <f t="shared" si="40"/>
        <v>-19.599999999999994</v>
      </c>
      <c r="DP26" s="13">
        <f t="shared" si="41"/>
        <v>-0.28242074927953881</v>
      </c>
      <c r="DQ26" s="3">
        <f t="shared" si="42"/>
        <v>-4.1000000000000085</v>
      </c>
      <c r="DR26" s="13">
        <f t="shared" si="43"/>
        <v>-5.4521276595744794E-2</v>
      </c>
      <c r="DS26" s="3">
        <f t="shared" si="44"/>
        <v>17.500000000000007</v>
      </c>
      <c r="DT26" s="13">
        <f t="shared" si="45"/>
        <v>0.35070140280561135</v>
      </c>
      <c r="DU26" s="3">
        <f t="shared" si="46"/>
        <v>-19.700000000000003</v>
      </c>
      <c r="DV26" s="13">
        <f t="shared" si="47"/>
        <v>-0.15672235481304694</v>
      </c>
      <c r="DW26" s="3">
        <f t="shared" si="48"/>
        <v>3.5</v>
      </c>
      <c r="DX26" s="13">
        <f t="shared" si="49"/>
        <v>4.4871794871794872E-2</v>
      </c>
      <c r="DY26" s="3">
        <f t="shared" si="50"/>
        <v>-3.7000000000000028</v>
      </c>
      <c r="DZ26" s="13">
        <f t="shared" si="51"/>
        <v>-4.5121951219512228E-2</v>
      </c>
      <c r="EA26" s="3">
        <f t="shared" si="52"/>
        <v>-3.0999999999999943</v>
      </c>
      <c r="EB26" s="13">
        <f t="shared" si="53"/>
        <v>-3.9692701664532579E-2</v>
      </c>
      <c r="EC26" s="3">
        <f t="shared" si="54"/>
        <v>-0.39999999999999858</v>
      </c>
      <c r="ED26" s="13">
        <f t="shared" si="55"/>
        <v>-1.0050251256281372E-2</v>
      </c>
      <c r="EE26" s="3">
        <f t="shared" si="56"/>
        <v>-20.400000000000006</v>
      </c>
      <c r="EF26" s="13">
        <f t="shared" si="57"/>
        <v>-0.23720930232558146</v>
      </c>
      <c r="EG26" s="3">
        <f t="shared" si="58"/>
        <v>32</v>
      </c>
      <c r="EH26" s="13">
        <f t="shared" si="59"/>
        <v>0.4</v>
      </c>
      <c r="EI26" s="3"/>
      <c r="EJ26" s="3"/>
    </row>
    <row r="27" spans="1:140" ht="18.75" x14ac:dyDescent="0.25">
      <c r="A27" s="3">
        <v>22</v>
      </c>
      <c r="B27" s="3" t="s">
        <v>32</v>
      </c>
      <c r="C27" s="3" t="s">
        <v>6</v>
      </c>
      <c r="D27" s="3">
        <v>51</v>
      </c>
      <c r="E27" s="3" t="s">
        <v>7</v>
      </c>
      <c r="G27" s="15"/>
      <c r="H27" s="3">
        <v>41.3</v>
      </c>
      <c r="I27" s="3">
        <v>25</v>
      </c>
      <c r="J27" s="3">
        <v>-29.2</v>
      </c>
      <c r="K27" s="3">
        <v>67.099999999999994</v>
      </c>
      <c r="L27" s="3">
        <v>23.2</v>
      </c>
      <c r="M27" s="3">
        <v>-74.599999999999994</v>
      </c>
      <c r="N27" s="3">
        <v>69.2</v>
      </c>
      <c r="O27" s="3">
        <v>21</v>
      </c>
      <c r="P27" s="3">
        <v>-120</v>
      </c>
      <c r="Q27" s="3">
        <v>64</v>
      </c>
      <c r="R27" s="3">
        <v>75.3</v>
      </c>
      <c r="S27" s="3">
        <v>72.3</v>
      </c>
      <c r="T27" s="3">
        <v>48.6</v>
      </c>
      <c r="U27" s="3">
        <v>51</v>
      </c>
      <c r="V27" s="3">
        <v>73.900000000000006</v>
      </c>
      <c r="W27" s="3" t="s">
        <v>63</v>
      </c>
      <c r="X27" s="3">
        <v>0</v>
      </c>
      <c r="Y27" s="3">
        <v>42.8</v>
      </c>
      <c r="Z27" s="3">
        <v>18.2</v>
      </c>
      <c r="AA27" s="3">
        <v>-31.6</v>
      </c>
      <c r="AB27" s="3">
        <v>57.1</v>
      </c>
      <c r="AC27" s="3">
        <v>32.799999999999997</v>
      </c>
      <c r="AD27" s="3">
        <v>-87.3</v>
      </c>
      <c r="AE27" s="3">
        <v>60</v>
      </c>
      <c r="AF27" s="3">
        <v>37.799999999999997</v>
      </c>
      <c r="AG27" s="3">
        <v>-138</v>
      </c>
      <c r="AH27" s="3">
        <v>94</v>
      </c>
      <c r="AI27" s="3">
        <v>74.8</v>
      </c>
      <c r="AJ27" s="3">
        <v>82.1</v>
      </c>
      <c r="AK27" s="3">
        <v>42</v>
      </c>
      <c r="AL27" s="3">
        <v>57.7</v>
      </c>
      <c r="AM27" s="3">
        <v>63.1</v>
      </c>
      <c r="AN27" s="3" t="s">
        <v>63</v>
      </c>
      <c r="AO27" s="3">
        <v>0</v>
      </c>
      <c r="AQ27" s="3">
        <v>51.4</v>
      </c>
      <c r="AR27" s="3">
        <v>18.7</v>
      </c>
      <c r="AS27" s="3">
        <v>-12.9</v>
      </c>
      <c r="AT27" s="3">
        <v>70.400000000000006</v>
      </c>
      <c r="AU27" s="3">
        <v>17.2</v>
      </c>
      <c r="AV27" s="3">
        <v>-65.599999999999994</v>
      </c>
      <c r="AW27" s="3">
        <v>65</v>
      </c>
      <c r="AX27" s="3">
        <v>21.6</v>
      </c>
      <c r="AY27" s="3">
        <v>-116.8</v>
      </c>
      <c r="AZ27" s="3">
        <v>60.2</v>
      </c>
      <c r="BA27" s="3">
        <v>83.7</v>
      </c>
      <c r="BB27" s="3">
        <v>77.2</v>
      </c>
      <c r="BC27" s="3">
        <v>34.5</v>
      </c>
      <c r="BD27" s="3">
        <v>62</v>
      </c>
      <c r="BE27" s="3">
        <v>63.3</v>
      </c>
      <c r="BF27" s="3" t="s">
        <v>86</v>
      </c>
      <c r="BG27" s="3">
        <v>0</v>
      </c>
      <c r="BH27" s="3">
        <v>52.3</v>
      </c>
      <c r="BI27" s="3">
        <v>20.8</v>
      </c>
      <c r="BJ27" s="3">
        <v>-9.52</v>
      </c>
      <c r="BK27" s="3">
        <v>66.5</v>
      </c>
      <c r="BL27" s="3">
        <v>18</v>
      </c>
      <c r="BM27" s="3">
        <v>-68.599999999999994</v>
      </c>
      <c r="BN27" s="3">
        <v>62.4</v>
      </c>
      <c r="BO27" s="3">
        <v>24.1</v>
      </c>
      <c r="BP27" s="3">
        <v>-126.8</v>
      </c>
      <c r="BQ27" s="3">
        <v>62</v>
      </c>
      <c r="BR27" s="3">
        <v>90</v>
      </c>
      <c r="BS27" s="3">
        <v>87.7</v>
      </c>
      <c r="BT27" s="3">
        <v>28</v>
      </c>
      <c r="BU27" s="3">
        <v>67</v>
      </c>
      <c r="BV27" s="3">
        <v>67.7</v>
      </c>
      <c r="BW27" s="3"/>
      <c r="BX27" s="3">
        <v>0</v>
      </c>
      <c r="BY27" s="3">
        <f t="shared" si="61"/>
        <v>-6.8000000000000007</v>
      </c>
      <c r="BZ27" s="13">
        <f t="shared" si="62"/>
        <v>-0.27200000000000002</v>
      </c>
      <c r="CA27" s="3">
        <f t="shared" si="63"/>
        <v>-2.4000000000000021</v>
      </c>
      <c r="CB27" s="14">
        <f t="shared" si="64"/>
        <v>8.2191780821917887E-2</v>
      </c>
      <c r="CC27" s="3">
        <f t="shared" si="65"/>
        <v>-9.9999999999999929</v>
      </c>
      <c r="CD27" s="14">
        <f t="shared" si="66"/>
        <v>0.14903129657228009</v>
      </c>
      <c r="CE27" s="3">
        <f t="shared" si="67"/>
        <v>9.5999999999999979</v>
      </c>
      <c r="CF27" s="14">
        <f t="shared" si="68"/>
        <v>0.4137931034482758</v>
      </c>
      <c r="CG27" s="3">
        <f t="shared" si="69"/>
        <v>-12.700000000000003</v>
      </c>
      <c r="CH27" s="14">
        <f t="shared" si="70"/>
        <v>0.17024128686327084</v>
      </c>
      <c r="CI27" s="3">
        <f t="shared" si="71"/>
        <v>-9.2000000000000028</v>
      </c>
      <c r="CJ27" s="14">
        <f t="shared" si="72"/>
        <v>0.13294797687861276</v>
      </c>
      <c r="CK27" s="3">
        <f t="shared" si="73"/>
        <v>16.799999999999997</v>
      </c>
      <c r="CL27" s="14">
        <f t="shared" si="74"/>
        <v>0.79999999999999982</v>
      </c>
      <c r="CM27" s="3">
        <f t="shared" si="75"/>
        <v>-18</v>
      </c>
      <c r="CN27" s="14">
        <f t="shared" si="76"/>
        <v>0.15</v>
      </c>
      <c r="CO27" s="3">
        <f t="shared" si="77"/>
        <v>30</v>
      </c>
      <c r="CP27" s="14">
        <f t="shared" si="78"/>
        <v>-0.46875</v>
      </c>
      <c r="CQ27" s="3">
        <f t="shared" si="79"/>
        <v>-0.5</v>
      </c>
      <c r="CR27" s="14">
        <f t="shared" si="80"/>
        <v>-6.6401062416998674E-3</v>
      </c>
      <c r="CS27" s="3">
        <f t="shared" si="81"/>
        <v>9.7999999999999972</v>
      </c>
      <c r="CT27" s="14">
        <f t="shared" si="82"/>
        <v>0.13554633471645916</v>
      </c>
      <c r="CU27" s="3">
        <f t="shared" si="83"/>
        <v>-6.6000000000000014</v>
      </c>
      <c r="CV27" s="14">
        <f t="shared" si="84"/>
        <v>-0.13580246913580249</v>
      </c>
      <c r="CW27" s="3">
        <f t="shared" si="85"/>
        <v>6.7000000000000028</v>
      </c>
      <c r="CX27" s="14">
        <f t="shared" si="86"/>
        <v>0.1313725490196079</v>
      </c>
      <c r="CY27" s="3">
        <f t="shared" si="87"/>
        <v>-10.800000000000004</v>
      </c>
      <c r="CZ27" s="14">
        <f t="shared" si="88"/>
        <v>-0.14614343707713132</v>
      </c>
      <c r="DA27" s="3" t="e">
        <f>AN27-W27</f>
        <v>#VALUE!</v>
      </c>
      <c r="DB27" s="14" t="e">
        <f>((AN27-W27)/W27)</f>
        <v>#VALUE!</v>
      </c>
      <c r="DC27" s="3"/>
      <c r="DD27" s="3"/>
      <c r="DE27" s="3">
        <f t="shared" si="30"/>
        <v>0.89999999999999858</v>
      </c>
      <c r="DF27" s="3">
        <f t="shared" si="31"/>
        <v>1.7509727626459116E-2</v>
      </c>
      <c r="DG27" s="3">
        <f t="shared" si="32"/>
        <v>2.1000000000000014</v>
      </c>
      <c r="DH27" s="3">
        <f t="shared" si="33"/>
        <v>0.11229946524064179</v>
      </c>
      <c r="DI27" s="3">
        <f t="shared" si="34"/>
        <v>3.3800000000000008</v>
      </c>
      <c r="DJ27" s="3">
        <f t="shared" si="60"/>
        <v>0.26201550387596906</v>
      </c>
      <c r="DK27" s="3">
        <f t="shared" si="36"/>
        <v>-3.9000000000000057</v>
      </c>
      <c r="DL27" s="3">
        <f t="shared" si="37"/>
        <v>-5.5397727272727348E-2</v>
      </c>
      <c r="DM27" s="3">
        <f t="shared" si="38"/>
        <v>0.80000000000000071</v>
      </c>
      <c r="DN27" s="3">
        <f t="shared" si="39"/>
        <v>4.6511627906976785E-2</v>
      </c>
      <c r="DO27" s="3">
        <f t="shared" si="40"/>
        <v>-3</v>
      </c>
      <c r="DP27" s="13">
        <f t="shared" si="41"/>
        <v>-4.5731707317073177E-2</v>
      </c>
      <c r="DQ27" s="3">
        <f t="shared" si="42"/>
        <v>-2.6000000000000014</v>
      </c>
      <c r="DR27" s="13">
        <f t="shared" si="43"/>
        <v>-4.0000000000000022E-2</v>
      </c>
      <c r="DS27" s="3">
        <f t="shared" si="44"/>
        <v>2.5</v>
      </c>
      <c r="DT27" s="13">
        <f t="shared" si="45"/>
        <v>0.11574074074074073</v>
      </c>
      <c r="DU27" s="3">
        <f t="shared" si="46"/>
        <v>-10</v>
      </c>
      <c r="DV27" s="3">
        <f t="shared" si="47"/>
        <v>-8.5616438356164379E-2</v>
      </c>
      <c r="DW27" s="3">
        <f t="shared" si="48"/>
        <v>1.7999999999999972</v>
      </c>
      <c r="DX27" s="13">
        <f t="shared" si="49"/>
        <v>2.9900332225913574E-2</v>
      </c>
      <c r="DY27" s="3">
        <f t="shared" si="50"/>
        <v>6.2999999999999972</v>
      </c>
      <c r="DZ27" s="13">
        <f t="shared" si="51"/>
        <v>7.5268817204301036E-2</v>
      </c>
      <c r="EA27" s="3">
        <f t="shared" si="52"/>
        <v>10.5</v>
      </c>
      <c r="EB27" s="13">
        <f t="shared" si="53"/>
        <v>0.1360103626943005</v>
      </c>
      <c r="EC27" s="3">
        <f t="shared" si="54"/>
        <v>-6.5</v>
      </c>
      <c r="ED27" s="13">
        <f t="shared" si="55"/>
        <v>-0.18840579710144928</v>
      </c>
      <c r="EE27" s="3">
        <f t="shared" si="56"/>
        <v>5</v>
      </c>
      <c r="EF27" s="13">
        <f t="shared" si="57"/>
        <v>8.0645161290322578E-2</v>
      </c>
      <c r="EG27" s="3">
        <f t="shared" si="58"/>
        <v>4.4000000000000057</v>
      </c>
      <c r="EH27" s="13">
        <f t="shared" si="59"/>
        <v>6.9510268562401362E-2</v>
      </c>
      <c r="EI27" s="3"/>
      <c r="EJ27" s="3"/>
    </row>
    <row r="28" spans="1:140" ht="18.75" x14ac:dyDescent="0.25">
      <c r="A28" s="3">
        <v>23</v>
      </c>
      <c r="B28" s="3" t="s">
        <v>33</v>
      </c>
      <c r="C28" s="3" t="s">
        <v>9</v>
      </c>
      <c r="D28" s="3">
        <v>67</v>
      </c>
      <c r="E28" s="3" t="s">
        <v>16</v>
      </c>
      <c r="G28" s="15">
        <v>165</v>
      </c>
      <c r="H28" s="3">
        <v>57</v>
      </c>
      <c r="I28" s="3">
        <v>58.2</v>
      </c>
      <c r="J28" s="3">
        <v>7.42</v>
      </c>
      <c r="K28" s="3">
        <v>71.2</v>
      </c>
      <c r="L28" s="3">
        <v>46.4</v>
      </c>
      <c r="M28" s="3">
        <v>-50</v>
      </c>
      <c r="N28" s="3">
        <v>69.2</v>
      </c>
      <c r="O28" s="3">
        <v>40.200000000000003</v>
      </c>
      <c r="P28" s="3">
        <v>-105.1</v>
      </c>
      <c r="Q28" s="3">
        <v>65</v>
      </c>
      <c r="R28" s="3">
        <v>85</v>
      </c>
      <c r="S28" s="3">
        <v>80</v>
      </c>
      <c r="T28" s="3">
        <v>35</v>
      </c>
      <c r="U28" s="3">
        <v>90</v>
      </c>
      <c r="V28" s="3">
        <v>83</v>
      </c>
      <c r="W28" s="3" t="s">
        <v>91</v>
      </c>
      <c r="X28" s="3">
        <v>4</v>
      </c>
      <c r="Y28" s="3">
        <v>56.3</v>
      </c>
      <c r="Z28" s="3">
        <v>47.6</v>
      </c>
      <c r="AA28" s="3">
        <v>-11.6</v>
      </c>
      <c r="AB28" s="3">
        <v>63.2</v>
      </c>
      <c r="AC28" s="3">
        <v>51.3</v>
      </c>
      <c r="AD28" s="3">
        <v>-61.7</v>
      </c>
      <c r="AE28" s="3">
        <v>60.6</v>
      </c>
      <c r="AF28" s="3">
        <v>59.2</v>
      </c>
      <c r="AG28" s="3">
        <v>-120</v>
      </c>
      <c r="AH28" s="3">
        <v>67</v>
      </c>
      <c r="AI28" s="3">
        <v>74.400000000000006</v>
      </c>
      <c r="AJ28" s="3">
        <v>84.7</v>
      </c>
      <c r="AK28" s="3">
        <v>36.5</v>
      </c>
      <c r="AL28" s="3">
        <v>88.1</v>
      </c>
      <c r="AM28" s="3">
        <v>92</v>
      </c>
      <c r="AN28" s="3" t="s">
        <v>91</v>
      </c>
      <c r="AO28" s="3">
        <v>4</v>
      </c>
      <c r="AP28">
        <v>185</v>
      </c>
      <c r="BG28" s="3"/>
      <c r="BY28" s="3">
        <f t="shared" si="61"/>
        <v>-10.600000000000001</v>
      </c>
      <c r="BZ28" s="13">
        <f t="shared" si="62"/>
        <v>-0.18213058419243988</v>
      </c>
      <c r="CA28" s="3">
        <f t="shared" si="63"/>
        <v>-19.02</v>
      </c>
      <c r="CB28" s="14">
        <f t="shared" si="64"/>
        <v>-2.5633423180592994</v>
      </c>
      <c r="CC28" s="3">
        <f t="shared" si="65"/>
        <v>-8</v>
      </c>
      <c r="CD28" s="14">
        <f t="shared" si="66"/>
        <v>0.11235955056179775</v>
      </c>
      <c r="CE28" s="3">
        <f t="shared" si="67"/>
        <v>4.8999999999999986</v>
      </c>
      <c r="CF28" s="14">
        <f t="shared" si="68"/>
        <v>0.10560344827586204</v>
      </c>
      <c r="CG28" s="3">
        <f t="shared" si="69"/>
        <v>-11.700000000000003</v>
      </c>
      <c r="CH28" s="14">
        <f t="shared" si="70"/>
        <v>0.23400000000000007</v>
      </c>
      <c r="CI28" s="3">
        <f t="shared" si="71"/>
        <v>-8.6000000000000014</v>
      </c>
      <c r="CJ28" s="14">
        <f t="shared" si="72"/>
        <v>0.12427745664739887</v>
      </c>
      <c r="CK28" s="3">
        <f t="shared" si="73"/>
        <v>19</v>
      </c>
      <c r="CL28" s="14">
        <f t="shared" si="74"/>
        <v>0.47263681592039797</v>
      </c>
      <c r="CM28" s="3">
        <f t="shared" si="75"/>
        <v>-14.900000000000006</v>
      </c>
      <c r="CN28" s="14">
        <f t="shared" si="76"/>
        <v>0.14176974310180787</v>
      </c>
      <c r="CO28" s="3">
        <f t="shared" si="77"/>
        <v>2</v>
      </c>
      <c r="CP28" s="14">
        <f t="shared" si="78"/>
        <v>-3.0769230769230771E-2</v>
      </c>
      <c r="CQ28" s="3">
        <f t="shared" si="79"/>
        <v>-10.599999999999994</v>
      </c>
      <c r="CR28" s="14">
        <f t="shared" si="80"/>
        <v>-0.12470588235294111</v>
      </c>
      <c r="CS28" s="3">
        <f t="shared" si="81"/>
        <v>4.7000000000000028</v>
      </c>
      <c r="CT28" s="14">
        <f t="shared" si="82"/>
        <v>5.8750000000000038E-2</v>
      </c>
      <c r="CU28" s="3">
        <f t="shared" si="83"/>
        <v>1.5</v>
      </c>
      <c r="CV28" s="14">
        <f t="shared" si="84"/>
        <v>4.2857142857142858E-2</v>
      </c>
      <c r="CW28" s="3">
        <f t="shared" si="85"/>
        <v>-1.9000000000000057</v>
      </c>
      <c r="CX28" s="14">
        <f t="shared" si="86"/>
        <v>-2.1111111111111174E-2</v>
      </c>
      <c r="CY28" s="3">
        <f t="shared" si="87"/>
        <v>9</v>
      </c>
      <c r="CZ28" s="14">
        <f t="shared" si="88"/>
        <v>0.10843373493975904</v>
      </c>
    </row>
    <row r="29" spans="1:140" ht="18.75" x14ac:dyDescent="0.25">
      <c r="A29" s="3">
        <v>24</v>
      </c>
      <c r="B29" s="3" t="s">
        <v>88</v>
      </c>
      <c r="C29" s="3" t="s">
        <v>6</v>
      </c>
      <c r="D29" s="3">
        <v>42</v>
      </c>
      <c r="E29" s="3" t="s">
        <v>7</v>
      </c>
      <c r="H29" s="3">
        <v>36.700000000000003</v>
      </c>
      <c r="I29" s="3">
        <v>26.2</v>
      </c>
      <c r="J29" s="3">
        <v>30</v>
      </c>
      <c r="K29" s="3">
        <v>55.8</v>
      </c>
      <c r="L29" s="3">
        <v>26.8</v>
      </c>
      <c r="M29" s="3">
        <v>-23.8</v>
      </c>
      <c r="N29" s="3">
        <v>63.4</v>
      </c>
      <c r="O29" s="3">
        <v>22.1</v>
      </c>
      <c r="P29" s="3">
        <v>-73.7</v>
      </c>
      <c r="Q29" s="3">
        <v>68.099999999999994</v>
      </c>
      <c r="R29" s="3">
        <v>79.7</v>
      </c>
      <c r="S29" s="3">
        <v>72.5</v>
      </c>
      <c r="T29" s="3">
        <v>25</v>
      </c>
      <c r="U29" s="3">
        <v>63.1</v>
      </c>
      <c r="V29" s="3">
        <v>43</v>
      </c>
      <c r="W29" s="8" t="s">
        <v>89</v>
      </c>
      <c r="X29" s="3">
        <v>0</v>
      </c>
      <c r="Y29" s="3">
        <v>41.8</v>
      </c>
      <c r="Z29" s="3">
        <v>29.4</v>
      </c>
      <c r="AA29" s="3">
        <v>16</v>
      </c>
      <c r="AB29" s="3">
        <v>58.1</v>
      </c>
      <c r="AC29" s="3">
        <v>29.9</v>
      </c>
      <c r="AD29" s="3">
        <v>-40</v>
      </c>
      <c r="AE29" s="3">
        <v>57.2</v>
      </c>
      <c r="AF29" s="3">
        <v>34.299999999999997</v>
      </c>
      <c r="AG29" s="3">
        <v>-60</v>
      </c>
      <c r="AH29" s="3">
        <v>98</v>
      </c>
      <c r="AI29" s="3">
        <v>76</v>
      </c>
      <c r="AJ29" s="3">
        <v>70</v>
      </c>
      <c r="AK29" s="3">
        <v>24.8</v>
      </c>
      <c r="AL29" s="3">
        <v>72</v>
      </c>
      <c r="AM29" s="3">
        <v>48</v>
      </c>
      <c r="AN29" s="8" t="s">
        <v>89</v>
      </c>
      <c r="AO29" s="3">
        <v>0</v>
      </c>
      <c r="AQ29" s="3">
        <v>36.200000000000003</v>
      </c>
      <c r="AR29" s="3">
        <v>20.399999999999999</v>
      </c>
      <c r="AS29" s="3">
        <v>18.5</v>
      </c>
      <c r="AT29" s="3">
        <v>64.8</v>
      </c>
      <c r="AU29" s="3">
        <v>30.7</v>
      </c>
      <c r="AV29" s="3">
        <v>-32.299999999999997</v>
      </c>
      <c r="AW29" s="3">
        <v>67.900000000000006</v>
      </c>
      <c r="AX29" s="3">
        <v>20.399999999999999</v>
      </c>
      <c r="AY29" s="3">
        <v>-82.6</v>
      </c>
      <c r="AZ29" s="3">
        <v>70</v>
      </c>
      <c r="BA29" s="3">
        <v>78.599999999999994</v>
      </c>
      <c r="BB29" s="3">
        <v>65</v>
      </c>
      <c r="BC29" s="3">
        <v>18</v>
      </c>
      <c r="BD29" s="3">
        <v>52</v>
      </c>
      <c r="BE29" s="3">
        <v>33</v>
      </c>
      <c r="BF29" s="3" t="s">
        <v>90</v>
      </c>
      <c r="BG29" s="3">
        <v>0</v>
      </c>
      <c r="BH29" s="3">
        <v>34.1</v>
      </c>
      <c r="BI29" s="3">
        <v>29.1</v>
      </c>
      <c r="BJ29" s="3">
        <v>-10</v>
      </c>
      <c r="BK29" s="3">
        <v>57.2</v>
      </c>
      <c r="BL29" s="3">
        <v>41.5</v>
      </c>
      <c r="BM29" s="3">
        <v>-57</v>
      </c>
      <c r="BN29" s="3">
        <v>57.4</v>
      </c>
      <c r="BO29" s="3">
        <v>41.7</v>
      </c>
      <c r="BP29" s="3">
        <v>-113.2</v>
      </c>
      <c r="BQ29" s="3">
        <v>68</v>
      </c>
      <c r="BR29" s="3">
        <v>77.599999999999994</v>
      </c>
      <c r="BS29" s="3">
        <v>75</v>
      </c>
      <c r="BT29" s="3">
        <v>26.5</v>
      </c>
      <c r="BU29" s="3">
        <v>52</v>
      </c>
      <c r="BV29" s="3">
        <v>53</v>
      </c>
      <c r="BX29" s="3">
        <v>0</v>
      </c>
    </row>
    <row r="30" spans="1:140" ht="18.75" x14ac:dyDescent="0.25">
      <c r="A30" s="3">
        <v>25</v>
      </c>
      <c r="B30" s="3" t="s">
        <v>92</v>
      </c>
      <c r="C30" s="3" t="s">
        <v>9</v>
      </c>
      <c r="D30" s="3">
        <v>54</v>
      </c>
      <c r="E30" s="3" t="s">
        <v>7</v>
      </c>
      <c r="H30" s="3">
        <v>63.7</v>
      </c>
      <c r="I30" s="3">
        <v>37.700000000000003</v>
      </c>
      <c r="J30" s="3">
        <v>2.4</v>
      </c>
      <c r="K30" s="3">
        <v>81.7</v>
      </c>
      <c r="L30" s="3">
        <v>33.200000000000003</v>
      </c>
      <c r="M30" s="3">
        <v>-52.8</v>
      </c>
      <c r="N30" s="3">
        <v>91</v>
      </c>
      <c r="O30" s="3">
        <v>40.799999999999997</v>
      </c>
      <c r="P30" s="3">
        <v>-107.9</v>
      </c>
      <c r="Q30" s="3">
        <v>79</v>
      </c>
      <c r="R30" s="3">
        <v>76</v>
      </c>
      <c r="S30" s="3">
        <v>68</v>
      </c>
      <c r="T30" s="3">
        <v>49</v>
      </c>
      <c r="U30" s="3">
        <v>73</v>
      </c>
      <c r="V30" s="3">
        <v>68.599999999999994</v>
      </c>
      <c r="W30" s="3" t="s">
        <v>93</v>
      </c>
      <c r="X30" s="3">
        <v>1</v>
      </c>
      <c r="Y30" s="3">
        <v>52.2</v>
      </c>
      <c r="Z30" s="3">
        <v>43.6</v>
      </c>
      <c r="AA30" s="3">
        <v>-8.1999999999999993</v>
      </c>
      <c r="AB30" s="3">
        <v>68.599999999999994</v>
      </c>
      <c r="AC30" s="3">
        <v>51</v>
      </c>
      <c r="AD30" s="3">
        <v>-64</v>
      </c>
      <c r="AE30" s="3">
        <v>67</v>
      </c>
      <c r="AF30" s="3">
        <v>53</v>
      </c>
      <c r="AG30" s="3">
        <v>-123</v>
      </c>
      <c r="AH30" s="3">
        <v>75</v>
      </c>
      <c r="AI30" s="3">
        <v>82</v>
      </c>
      <c r="AJ30" s="3">
        <v>80</v>
      </c>
      <c r="AK30" s="3">
        <v>46.6</v>
      </c>
      <c r="AL30" s="3">
        <v>57</v>
      </c>
      <c r="AM30" s="3">
        <v>73</v>
      </c>
      <c r="AN30" s="3" t="s">
        <v>93</v>
      </c>
      <c r="AO30" s="3">
        <v>1</v>
      </c>
      <c r="AQ30" s="3">
        <v>66.099999999999994</v>
      </c>
      <c r="AR30" s="3">
        <v>35.700000000000003</v>
      </c>
      <c r="AS30" s="3">
        <v>10</v>
      </c>
      <c r="AT30" s="3">
        <v>80</v>
      </c>
      <c r="AU30" s="3">
        <v>46.8</v>
      </c>
      <c r="AV30" s="3">
        <v>-50</v>
      </c>
      <c r="AW30" s="3">
        <v>85.9</v>
      </c>
      <c r="AX30" s="3">
        <v>52.5</v>
      </c>
      <c r="AY30" s="3">
        <v>-103.8</v>
      </c>
      <c r="AZ30" s="3">
        <v>62</v>
      </c>
      <c r="BA30" s="3">
        <v>67.599999999999994</v>
      </c>
      <c r="BB30" s="3">
        <v>60</v>
      </c>
      <c r="BC30" s="3">
        <v>38</v>
      </c>
      <c r="BD30" s="3">
        <v>74</v>
      </c>
      <c r="BE30" s="3">
        <v>86</v>
      </c>
      <c r="BF30" s="3" t="s">
        <v>94</v>
      </c>
      <c r="BG30" s="3">
        <v>2</v>
      </c>
      <c r="BH30" s="3">
        <v>57.9</v>
      </c>
      <c r="BI30" s="3">
        <v>39.799999999999997</v>
      </c>
      <c r="BJ30" s="3">
        <v>-4</v>
      </c>
      <c r="BK30" s="3">
        <v>66.8</v>
      </c>
      <c r="BL30" s="3">
        <v>53.4</v>
      </c>
      <c r="BM30" s="3">
        <v>-58.6</v>
      </c>
      <c r="BN30" s="3">
        <v>66.3</v>
      </c>
      <c r="BO30" s="3">
        <v>62</v>
      </c>
      <c r="BP30" s="3">
        <v>-113.4</v>
      </c>
      <c r="BQ30" s="3">
        <v>78</v>
      </c>
      <c r="BR30" s="3">
        <v>79.2</v>
      </c>
      <c r="BS30" s="3">
        <v>79</v>
      </c>
      <c r="BT30" s="3">
        <v>21.2</v>
      </c>
      <c r="BU30" s="3">
        <v>94</v>
      </c>
      <c r="BV30">
        <v>75.099999999999994</v>
      </c>
      <c r="BX30" s="3">
        <v>2</v>
      </c>
    </row>
    <row r="31" spans="1:140" ht="18.75" x14ac:dyDescent="0.25">
      <c r="A31" s="3">
        <v>26</v>
      </c>
      <c r="B31" s="3" t="s">
        <v>95</v>
      </c>
      <c r="C31" s="3" t="s">
        <v>9</v>
      </c>
      <c r="D31" s="3">
        <v>71</v>
      </c>
      <c r="E31" s="3" t="s">
        <v>7</v>
      </c>
      <c r="H31" s="3"/>
      <c r="I31" s="3"/>
      <c r="J31" s="3"/>
      <c r="M31" s="3"/>
      <c r="AQ31" s="3">
        <v>70</v>
      </c>
      <c r="AR31" s="3">
        <v>28.4</v>
      </c>
      <c r="AS31" s="3">
        <v>-4.0999999999999996</v>
      </c>
      <c r="AT31" s="3">
        <v>80.599999999999994</v>
      </c>
      <c r="AU31" s="3">
        <v>38.799999999999997</v>
      </c>
      <c r="AV31" s="3">
        <v>-57</v>
      </c>
      <c r="AW31" s="3">
        <v>81.7</v>
      </c>
      <c r="AX31" s="3">
        <v>56.3</v>
      </c>
      <c r="AY31" s="3">
        <v>-100</v>
      </c>
      <c r="AZ31" s="3">
        <v>33</v>
      </c>
      <c r="BA31" s="3">
        <v>67</v>
      </c>
      <c r="BB31" s="3">
        <v>64</v>
      </c>
      <c r="BC31" s="3">
        <v>33</v>
      </c>
      <c r="BD31" s="3">
        <v>72</v>
      </c>
      <c r="BE31" s="3">
        <v>70</v>
      </c>
      <c r="BF31" s="3" t="s">
        <v>96</v>
      </c>
      <c r="BG31" s="3">
        <v>4</v>
      </c>
      <c r="BH31" s="3">
        <v>60</v>
      </c>
      <c r="BI31" s="3">
        <v>28.1</v>
      </c>
      <c r="BJ31" s="3">
        <v>-4</v>
      </c>
      <c r="BK31" s="3">
        <v>77</v>
      </c>
      <c r="BL31" s="3">
        <v>34</v>
      </c>
      <c r="BM31" s="3">
        <v>-44</v>
      </c>
      <c r="BN31" s="3">
        <v>76.400000000000006</v>
      </c>
      <c r="BO31" s="3">
        <v>45.6</v>
      </c>
      <c r="BP31" s="3">
        <v>-103</v>
      </c>
      <c r="BQ31" s="3">
        <v>25.5</v>
      </c>
      <c r="BR31" s="3">
        <v>70.599999999999994</v>
      </c>
      <c r="BS31" s="3">
        <v>72.7</v>
      </c>
      <c r="BT31" s="3">
        <v>32.5</v>
      </c>
      <c r="BU31" s="3">
        <v>79.400000000000006</v>
      </c>
      <c r="BV31" s="3">
        <v>66</v>
      </c>
      <c r="BX31" s="3">
        <v>4</v>
      </c>
    </row>
    <row r="32" spans="1:140" ht="18.75" x14ac:dyDescent="0.25">
      <c r="A32" s="3">
        <v>27</v>
      </c>
      <c r="B32" s="3" t="s">
        <v>97</v>
      </c>
      <c r="C32" s="3" t="s">
        <v>6</v>
      </c>
      <c r="D32" s="3">
        <v>61</v>
      </c>
      <c r="E32" s="3" t="s">
        <v>7</v>
      </c>
      <c r="H32" s="3">
        <v>45.2</v>
      </c>
      <c r="I32" s="3">
        <v>22.4</v>
      </c>
      <c r="J32" s="3">
        <v>-7.92</v>
      </c>
      <c r="K32" s="3">
        <v>63</v>
      </c>
      <c r="L32" s="3">
        <v>21.3</v>
      </c>
      <c r="M32" s="3">
        <v>-59</v>
      </c>
      <c r="N32" s="3">
        <v>83.8</v>
      </c>
      <c r="O32" s="3">
        <v>18.5</v>
      </c>
      <c r="P32" s="3">
        <v>-111.4</v>
      </c>
      <c r="Q32" s="3">
        <v>47</v>
      </c>
      <c r="R32" s="3">
        <v>84</v>
      </c>
      <c r="S32" s="3">
        <v>65</v>
      </c>
      <c r="T32" s="3">
        <v>55</v>
      </c>
      <c r="U32" s="3">
        <v>41</v>
      </c>
      <c r="V32" s="3">
        <v>65</v>
      </c>
      <c r="W32" s="3" t="s">
        <v>99</v>
      </c>
      <c r="X32" s="3">
        <v>0</v>
      </c>
      <c r="Y32" s="3">
        <v>38.299999999999997</v>
      </c>
      <c r="Z32" s="3">
        <v>31.3</v>
      </c>
      <c r="AA32" s="3">
        <v>-1.25</v>
      </c>
      <c r="AB32" s="3">
        <v>65.400000000000006</v>
      </c>
      <c r="AC32" s="3">
        <v>25</v>
      </c>
      <c r="AD32" s="3">
        <v>-59.8</v>
      </c>
      <c r="AE32" s="3">
        <v>74.400000000000006</v>
      </c>
      <c r="AF32" s="3">
        <v>28.5</v>
      </c>
      <c r="AG32" s="3">
        <v>-112.7</v>
      </c>
      <c r="AH32" s="3">
        <v>50</v>
      </c>
      <c r="AI32" s="3">
        <v>79</v>
      </c>
      <c r="AJ32" s="3">
        <v>71</v>
      </c>
      <c r="AK32" s="3">
        <v>45</v>
      </c>
      <c r="AL32" s="3">
        <v>30</v>
      </c>
      <c r="AM32" s="3">
        <v>72</v>
      </c>
      <c r="AN32" s="3" t="s">
        <v>99</v>
      </c>
      <c r="AO32" s="3">
        <v>0</v>
      </c>
      <c r="AQ32" s="3">
        <v>57.4</v>
      </c>
      <c r="AR32" s="3">
        <v>24.6</v>
      </c>
      <c r="AS32" s="3">
        <v>9</v>
      </c>
      <c r="AT32" s="3">
        <v>73</v>
      </c>
      <c r="AU32" s="3">
        <v>20</v>
      </c>
      <c r="AV32" s="3">
        <v>-53.3</v>
      </c>
      <c r="AW32" s="3">
        <v>61.8</v>
      </c>
      <c r="AX32" s="3">
        <v>21</v>
      </c>
      <c r="AY32" s="3">
        <v>-106.5</v>
      </c>
      <c r="AZ32" s="3">
        <v>45.3</v>
      </c>
      <c r="BA32" s="3">
        <v>86</v>
      </c>
      <c r="BB32" s="3">
        <v>85</v>
      </c>
      <c r="BC32" s="3">
        <v>43.8</v>
      </c>
      <c r="BD32" s="3">
        <v>61</v>
      </c>
      <c r="BE32" s="3">
        <v>106</v>
      </c>
      <c r="BF32" s="3" t="s">
        <v>98</v>
      </c>
      <c r="BG32" s="3">
        <v>1</v>
      </c>
      <c r="BH32" s="3">
        <v>50</v>
      </c>
      <c r="BI32" s="3">
        <v>35.299999999999997</v>
      </c>
      <c r="BJ32" s="3">
        <v>-9</v>
      </c>
      <c r="BK32" s="3">
        <v>58.2</v>
      </c>
      <c r="BL32" s="3">
        <v>37.4</v>
      </c>
      <c r="BM32" s="3">
        <v>-62.2</v>
      </c>
      <c r="BN32" s="3">
        <v>50</v>
      </c>
      <c r="BO32">
        <v>44</v>
      </c>
      <c r="BP32" s="3">
        <v>-115.8</v>
      </c>
      <c r="BQ32" s="3">
        <v>37.9</v>
      </c>
      <c r="BR32" s="3">
        <v>82.1</v>
      </c>
      <c r="BS32" s="3">
        <v>92</v>
      </c>
      <c r="BT32" s="3">
        <v>40</v>
      </c>
      <c r="BU32" s="3">
        <v>54.4</v>
      </c>
      <c r="BV32" s="3">
        <v>124</v>
      </c>
      <c r="BX32" s="3">
        <v>1</v>
      </c>
    </row>
    <row r="33" spans="1:76" ht="18.75" x14ac:dyDescent="0.25">
      <c r="A33" s="3">
        <v>28</v>
      </c>
      <c r="B33" s="3" t="s">
        <v>100</v>
      </c>
      <c r="C33" s="3" t="s">
        <v>9</v>
      </c>
      <c r="D33" s="3">
        <v>33</v>
      </c>
      <c r="E33" s="3" t="s">
        <v>7</v>
      </c>
      <c r="H33" s="3">
        <v>54.8</v>
      </c>
      <c r="I33" s="3">
        <v>30.7</v>
      </c>
      <c r="J33" s="3">
        <v>17.100000000000001</v>
      </c>
      <c r="K33" s="3">
        <v>70.7</v>
      </c>
      <c r="L33" s="3">
        <v>29.3</v>
      </c>
      <c r="M33" s="3">
        <v>-29.8</v>
      </c>
      <c r="N33" s="3">
        <v>72.400000000000006</v>
      </c>
      <c r="O33" s="3">
        <v>28.6</v>
      </c>
      <c r="P33" s="3">
        <v>-81.400000000000006</v>
      </c>
      <c r="Q33" s="3">
        <v>72</v>
      </c>
      <c r="R33" s="3">
        <v>73</v>
      </c>
      <c r="S33" s="3">
        <v>72</v>
      </c>
      <c r="T33" s="3">
        <v>48</v>
      </c>
      <c r="U33" s="3">
        <v>58</v>
      </c>
      <c r="V33" s="3">
        <v>72</v>
      </c>
      <c r="W33" s="3" t="s">
        <v>101</v>
      </c>
      <c r="X33" s="3">
        <v>0</v>
      </c>
      <c r="Y33" s="3">
        <v>56.6</v>
      </c>
      <c r="Z33" s="3">
        <v>20.3</v>
      </c>
      <c r="AA33" s="3">
        <v>-1</v>
      </c>
      <c r="AB33" s="3">
        <v>70.599999999999994</v>
      </c>
      <c r="AC33" s="3">
        <v>35.200000000000003</v>
      </c>
      <c r="AD33" s="3">
        <v>-46.6</v>
      </c>
      <c r="AE33" s="3">
        <v>62.2</v>
      </c>
      <c r="AF33" s="3">
        <v>43.5</v>
      </c>
      <c r="AG33" s="3">
        <v>-100.1</v>
      </c>
      <c r="AH33" s="3">
        <v>61.1</v>
      </c>
      <c r="AI33" s="3">
        <v>70</v>
      </c>
      <c r="AJ33" s="3">
        <v>77.2</v>
      </c>
      <c r="AK33" s="3">
        <v>56</v>
      </c>
      <c r="AL33" s="3">
        <v>45</v>
      </c>
      <c r="AM33" s="3">
        <v>78</v>
      </c>
      <c r="AN33" s="3" t="s">
        <v>101</v>
      </c>
      <c r="AO33" s="3">
        <v>0</v>
      </c>
      <c r="AQ33" s="3">
        <v>56</v>
      </c>
      <c r="AR33" s="3">
        <v>19</v>
      </c>
      <c r="AS33" s="3">
        <v>14</v>
      </c>
      <c r="AT33" s="3">
        <v>75</v>
      </c>
      <c r="AU33" s="3">
        <v>32.4</v>
      </c>
      <c r="AV33" s="3">
        <v>-42</v>
      </c>
      <c r="AW33" s="3">
        <v>73.2</v>
      </c>
      <c r="AX33" s="3">
        <v>45</v>
      </c>
      <c r="AY33" s="3">
        <v>-99.3</v>
      </c>
      <c r="AZ33" s="3">
        <v>58</v>
      </c>
      <c r="BA33" s="3">
        <v>67</v>
      </c>
      <c r="BB33" s="3">
        <v>70</v>
      </c>
      <c r="BC33" s="3">
        <v>35</v>
      </c>
      <c r="BD33" s="3">
        <v>75.599999999999994</v>
      </c>
      <c r="BE33" s="3">
        <v>97.7</v>
      </c>
      <c r="BF33" s="3" t="s">
        <v>102</v>
      </c>
      <c r="BG33" s="3">
        <v>0</v>
      </c>
      <c r="BH33" s="3">
        <v>53</v>
      </c>
      <c r="BI33" s="3">
        <v>18.2</v>
      </c>
      <c r="BJ33" s="3">
        <v>5</v>
      </c>
      <c r="BK33" s="3">
        <v>71.599999999999994</v>
      </c>
      <c r="BL33" s="3">
        <v>32.4</v>
      </c>
      <c r="BM33" s="3">
        <v>-55.9</v>
      </c>
      <c r="BN33" s="3">
        <v>66.900000000000006</v>
      </c>
      <c r="BO33" s="3">
        <v>49</v>
      </c>
      <c r="BP33" s="3">
        <v>-109.9</v>
      </c>
      <c r="BQ33" s="3">
        <v>48.6</v>
      </c>
      <c r="BR33" s="3">
        <v>67</v>
      </c>
      <c r="BS33" s="3">
        <v>79.8</v>
      </c>
      <c r="BT33">
        <v>33.1</v>
      </c>
      <c r="BU33" s="3">
        <v>57.6</v>
      </c>
      <c r="BV33" s="3">
        <v>105.8</v>
      </c>
      <c r="BX33" s="3">
        <v>1</v>
      </c>
    </row>
    <row r="34" spans="1:76" ht="18.75" x14ac:dyDescent="0.25">
      <c r="A34" s="3">
        <v>29</v>
      </c>
      <c r="B34" s="3" t="s">
        <v>105</v>
      </c>
      <c r="C34" s="3" t="s">
        <v>9</v>
      </c>
      <c r="D34" s="3">
        <v>83</v>
      </c>
      <c r="E34" s="3" t="s">
        <v>7</v>
      </c>
      <c r="H34" s="3">
        <v>67.2</v>
      </c>
      <c r="I34" s="3">
        <v>19.7</v>
      </c>
      <c r="J34" s="15">
        <v>5</v>
      </c>
      <c r="K34" s="3">
        <v>79.2</v>
      </c>
      <c r="L34" s="3">
        <v>15.5</v>
      </c>
      <c r="M34" s="3">
        <v>-50.4</v>
      </c>
      <c r="N34" s="3">
        <v>87.1</v>
      </c>
      <c r="O34" s="3">
        <v>13.3</v>
      </c>
      <c r="P34" s="3">
        <v>-105.3</v>
      </c>
      <c r="Q34" s="3">
        <v>80</v>
      </c>
      <c r="R34">
        <v>90</v>
      </c>
      <c r="S34" s="3">
        <v>85</v>
      </c>
      <c r="T34" s="3">
        <v>43.4</v>
      </c>
      <c r="U34" s="3">
        <v>94</v>
      </c>
      <c r="V34" s="3">
        <v>43.2</v>
      </c>
      <c r="W34" s="3" t="s">
        <v>103</v>
      </c>
      <c r="X34" s="3">
        <v>4</v>
      </c>
      <c r="Y34" s="3">
        <v>54.8</v>
      </c>
      <c r="Z34" s="3">
        <v>50.5</v>
      </c>
      <c r="AA34" s="3">
        <v>-2</v>
      </c>
      <c r="AB34" s="3">
        <v>57.8</v>
      </c>
      <c r="AC34" s="3">
        <v>36.4</v>
      </c>
      <c r="AD34" s="3">
        <v>-49.5</v>
      </c>
      <c r="AE34" s="3">
        <v>71</v>
      </c>
      <c r="AF34" s="3">
        <v>15</v>
      </c>
      <c r="AG34" s="3">
        <v>-97.8</v>
      </c>
      <c r="AH34" s="3">
        <v>62.6</v>
      </c>
      <c r="AI34" s="3">
        <v>110</v>
      </c>
      <c r="AJ34" s="3">
        <v>87</v>
      </c>
      <c r="AK34" s="3">
        <v>37</v>
      </c>
      <c r="AL34" s="3">
        <v>60</v>
      </c>
      <c r="AM34" s="3">
        <v>40</v>
      </c>
      <c r="AN34" s="3" t="s">
        <v>103</v>
      </c>
      <c r="AO34" s="3">
        <v>4</v>
      </c>
      <c r="AQ34" s="3">
        <v>74.2</v>
      </c>
      <c r="AR34" s="3">
        <v>12.2</v>
      </c>
      <c r="AS34" s="3">
        <v>-1.74</v>
      </c>
      <c r="AT34" s="3">
        <v>75</v>
      </c>
      <c r="AU34" s="3">
        <v>21.6</v>
      </c>
      <c r="AV34" s="3">
        <v>-55.7</v>
      </c>
      <c r="AW34" s="3">
        <v>76.599999999999994</v>
      </c>
      <c r="AX34" s="3">
        <v>33.4</v>
      </c>
      <c r="AY34" s="3">
        <v>-113.8</v>
      </c>
      <c r="AZ34" s="3">
        <v>45</v>
      </c>
      <c r="BA34" s="3">
        <v>79</v>
      </c>
      <c r="BB34" s="3">
        <v>82</v>
      </c>
      <c r="BC34" s="3">
        <v>34</v>
      </c>
      <c r="BD34" s="3">
        <v>68</v>
      </c>
      <c r="BE34" s="3">
        <v>40</v>
      </c>
      <c r="BF34" s="3" t="s">
        <v>104</v>
      </c>
      <c r="BG34" s="3">
        <v>4</v>
      </c>
      <c r="BH34" s="3">
        <v>69.900000000000006</v>
      </c>
      <c r="BI34" s="3">
        <v>37.4</v>
      </c>
      <c r="BJ34" s="3">
        <v>-52</v>
      </c>
      <c r="BK34" s="3">
        <v>61.3</v>
      </c>
      <c r="BL34" s="3">
        <v>42.3</v>
      </c>
      <c r="BM34" s="3">
        <v>-102</v>
      </c>
      <c r="BN34" s="3">
        <v>50</v>
      </c>
      <c r="BO34" s="3">
        <v>90</v>
      </c>
      <c r="BP34" s="3">
        <v>-155</v>
      </c>
      <c r="BQ34" s="3">
        <v>33.6</v>
      </c>
      <c r="BR34" s="3">
        <v>60</v>
      </c>
      <c r="BS34" s="3">
        <v>90</v>
      </c>
      <c r="BT34" s="3">
        <v>35</v>
      </c>
      <c r="BU34" s="3">
        <v>41</v>
      </c>
      <c r="BV34" s="3">
        <v>43</v>
      </c>
      <c r="BX34" s="3">
        <v>4</v>
      </c>
    </row>
  </sheetData>
  <mergeCells count="112">
    <mergeCell ref="Q4:Q5"/>
    <mergeCell ref="R4:R5"/>
    <mergeCell ref="S4:S5"/>
    <mergeCell ref="A1:F4"/>
    <mergeCell ref="H2:X2"/>
    <mergeCell ref="Y2:AO2"/>
    <mergeCell ref="H3:P3"/>
    <mergeCell ref="Q3:S3"/>
    <mergeCell ref="T3:W3"/>
    <mergeCell ref="X3:X5"/>
    <mergeCell ref="AM4:AM5"/>
    <mergeCell ref="AN4:AN5"/>
    <mergeCell ref="G1:AO1"/>
    <mergeCell ref="G2:G5"/>
    <mergeCell ref="H4:J4"/>
    <mergeCell ref="K4:M4"/>
    <mergeCell ref="N4:P4"/>
    <mergeCell ref="AP2:AP5"/>
    <mergeCell ref="AE4:AG4"/>
    <mergeCell ref="AH4:AH5"/>
    <mergeCell ref="AI4:AI5"/>
    <mergeCell ref="AJ4:AJ5"/>
    <mergeCell ref="AK4:AK5"/>
    <mergeCell ref="AL4:AL5"/>
    <mergeCell ref="T4:T5"/>
    <mergeCell ref="U4:U5"/>
    <mergeCell ref="V4:V5"/>
    <mergeCell ref="W4:W5"/>
    <mergeCell ref="Y4:AA4"/>
    <mergeCell ref="AB4:AD4"/>
    <mergeCell ref="Y3:AG3"/>
    <mergeCell ref="AH3:AJ3"/>
    <mergeCell ref="AK3:AN3"/>
    <mergeCell ref="AO3:AO5"/>
    <mergeCell ref="DW3:EB3"/>
    <mergeCell ref="EC3:EJ3"/>
    <mergeCell ref="AQ4:AS4"/>
    <mergeCell ref="AT4:AV4"/>
    <mergeCell ref="AW4:AY4"/>
    <mergeCell ref="AZ4:AZ5"/>
    <mergeCell ref="BA4:BA5"/>
    <mergeCell ref="BB4:BB5"/>
    <mergeCell ref="BC4:BC5"/>
    <mergeCell ref="BD4:BD5"/>
    <mergeCell ref="BT3:BW3"/>
    <mergeCell ref="BX3:BX5"/>
    <mergeCell ref="BY3:CP3"/>
    <mergeCell ref="CQ3:CV3"/>
    <mergeCell ref="CW3:DD3"/>
    <mergeCell ref="DE3:DV3"/>
    <mergeCell ref="BV4:BV5"/>
    <mergeCell ref="BW4:BW5"/>
    <mergeCell ref="BY4:CD4"/>
    <mergeCell ref="CE4:CJ4"/>
    <mergeCell ref="AQ3:AY3"/>
    <mergeCell ref="DY4:DZ5"/>
    <mergeCell ref="AZ3:BB3"/>
    <mergeCell ref="BC3:BF3"/>
    <mergeCell ref="EA4:EB5"/>
    <mergeCell ref="EC4:ED5"/>
    <mergeCell ref="EE4:EF5"/>
    <mergeCell ref="EG4:EH5"/>
    <mergeCell ref="EI4:EJ5"/>
    <mergeCell ref="DA4:DB5"/>
    <mergeCell ref="DC4:DD5"/>
    <mergeCell ref="DE4:DJ4"/>
    <mergeCell ref="DK4:DP4"/>
    <mergeCell ref="DQ4:DV4"/>
    <mergeCell ref="DW4:DX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AP1:BX1"/>
    <mergeCell ref="BY5:BZ5"/>
    <mergeCell ref="CA5:CB5"/>
    <mergeCell ref="CC5:CD5"/>
    <mergeCell ref="CE5:CF5"/>
    <mergeCell ref="CG5:CH5"/>
    <mergeCell ref="CI5:CJ5"/>
    <mergeCell ref="CK4:CP4"/>
    <mergeCell ref="CQ4:CR5"/>
    <mergeCell ref="BT4:BT5"/>
    <mergeCell ref="BU4:BU5"/>
    <mergeCell ref="BG3:BG5"/>
    <mergeCell ref="BH3:BP3"/>
    <mergeCell ref="BQ3:BS3"/>
    <mergeCell ref="BE4:BE5"/>
    <mergeCell ref="BF4:BF5"/>
    <mergeCell ref="BH4:BJ4"/>
    <mergeCell ref="BK4:BM4"/>
    <mergeCell ref="BS4:BS5"/>
    <mergeCell ref="BY1:EJ1"/>
    <mergeCell ref="AQ2:BG2"/>
    <mergeCell ref="BH2:BX2"/>
    <mergeCell ref="BY2:DD2"/>
    <mergeCell ref="DE2:EJ2"/>
    <mergeCell ref="CS4:CT5"/>
    <mergeCell ref="CU4:CV5"/>
    <mergeCell ref="CW4:CX5"/>
    <mergeCell ref="CY4:CZ5"/>
    <mergeCell ref="CK5:CL5"/>
    <mergeCell ref="CM5:CN5"/>
    <mergeCell ref="CO5:CP5"/>
    <mergeCell ref="BN4:BP4"/>
    <mergeCell ref="BQ4:BQ5"/>
    <mergeCell ref="BR4:BR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Дмитрий Коновалов</cp:lastModifiedBy>
  <dcterms:created xsi:type="dcterms:W3CDTF">2015-06-05T18:19:34Z</dcterms:created>
  <dcterms:modified xsi:type="dcterms:W3CDTF">2026-01-27T09:17:32Z</dcterms:modified>
</cp:coreProperties>
</file>