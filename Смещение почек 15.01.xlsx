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\Downloads\"/>
    </mc:Choice>
  </mc:AlternateContent>
  <bookViews>
    <workbookView xWindow="-120" yWindow="-120" windowWidth="38640" windowHeight="211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V10" i="1" l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DB7" i="1"/>
  <c r="DC7" i="1"/>
  <c r="DD7" i="1"/>
  <c r="DE7" i="1"/>
  <c r="DF7" i="1"/>
  <c r="DG7" i="1"/>
  <c r="DH7" i="1"/>
  <c r="DI7" i="1"/>
  <c r="DJ7" i="1"/>
  <c r="DK7" i="1"/>
  <c r="DL7" i="1"/>
  <c r="DM7" i="1"/>
  <c r="DC6" i="1"/>
  <c r="DD6" i="1"/>
  <c r="DE6" i="1"/>
  <c r="DF6" i="1"/>
  <c r="DG6" i="1"/>
  <c r="DH6" i="1"/>
  <c r="DI6" i="1"/>
  <c r="DJ6" i="1"/>
  <c r="DK6" i="1"/>
  <c r="DL6" i="1"/>
  <c r="CY7" i="1"/>
  <c r="CX7" i="1"/>
  <c r="CW7" i="1"/>
  <c r="CV7" i="1"/>
  <c r="CU7" i="1"/>
  <c r="CT7" i="1"/>
  <c r="CS7" i="1"/>
  <c r="CR7" i="1"/>
  <c r="CQ7" i="1"/>
  <c r="CP7" i="1"/>
  <c r="CO7" i="1"/>
  <c r="CN7" i="1"/>
  <c r="CK7" i="1"/>
  <c r="CJ7" i="1"/>
  <c r="CH7" i="1"/>
  <c r="CI7" i="1"/>
  <c r="CE7" i="1"/>
  <c r="CD7" i="1"/>
  <c r="CC7" i="1"/>
  <c r="CB7" i="1"/>
  <c r="CM7" i="1"/>
  <c r="CL7" i="1"/>
  <c r="CG7" i="1"/>
  <c r="CF7" i="1"/>
  <c r="CA7" i="1"/>
  <c r="BZ7" i="1"/>
  <c r="BX7" i="1"/>
  <c r="BY7" i="1"/>
  <c r="BV7" i="1"/>
  <c r="BW7" i="1"/>
  <c r="ED6" i="1"/>
  <c r="EC6" i="1"/>
  <c r="EE6" i="1"/>
  <c r="DS6" i="1"/>
  <c r="EB6" i="1"/>
  <c r="EA6" i="1"/>
  <c r="DY6" i="1"/>
  <c r="DZ6" i="1"/>
  <c r="DX6" i="1"/>
  <c r="DW6" i="1"/>
  <c r="DV6" i="1"/>
  <c r="DU6" i="1"/>
  <c r="CO6" i="1"/>
  <c r="DT6" i="1"/>
  <c r="DR6" i="1"/>
  <c r="DQ6" i="1"/>
  <c r="DP6" i="1"/>
  <c r="DO6" i="1"/>
  <c r="DN6" i="1"/>
  <c r="DM6" i="1"/>
  <c r="DB6" i="1"/>
  <c r="CY6" i="1"/>
  <c r="CX6" i="1"/>
  <c r="CW6" i="1"/>
  <c r="CV6" i="1"/>
  <c r="CU6" i="1"/>
  <c r="CT6" i="1"/>
  <c r="CS6" i="1"/>
  <c r="CR6" i="1"/>
  <c r="CQ6" i="1"/>
  <c r="CP6" i="1"/>
  <c r="CM6" i="1"/>
  <c r="CN6" i="1"/>
  <c r="CK6" i="1"/>
  <c r="CL6" i="1"/>
  <c r="CI6" i="1"/>
  <c r="CJ6" i="1"/>
  <c r="CH6" i="1"/>
  <c r="CB6" i="1"/>
  <c r="CG6" i="1"/>
  <c r="CE6" i="1"/>
  <c r="CF6" i="1"/>
  <c r="CC6" i="1"/>
  <c r="CD6" i="1"/>
  <c r="BY6" i="1"/>
  <c r="CA6" i="1"/>
  <c r="BW6" i="1"/>
  <c r="BZ6" i="1"/>
  <c r="BV6" i="1"/>
  <c r="BX6" i="1"/>
</calcChain>
</file>

<file path=xl/comments1.xml><?xml version="1.0" encoding="utf-8"?>
<comments xmlns="http://schemas.openxmlformats.org/spreadsheetml/2006/main">
  <authors>
    <author>Пользователь</author>
  </authors>
  <commentList>
    <comment ref="V3" authorId="0" shapeId="0">
      <text>
        <r>
          <rPr>
            <b/>
            <sz val="9"/>
            <color indexed="81"/>
            <rFont val="Tahoma"/>
            <charset val="1"/>
          </rPr>
          <t>Mayo Adhesive Probability (MAP) Score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M3" authorId="0" shapeId="0">
      <text>
        <r>
          <rPr>
            <b/>
            <sz val="9"/>
            <color indexed="81"/>
            <rFont val="Tahoma"/>
            <charset val="1"/>
          </rPr>
          <t>Mayo Adhesive Probability (MAP) Score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D3" authorId="0" shapeId="0">
      <text>
        <r>
          <rPr>
            <b/>
            <sz val="9"/>
            <color indexed="81"/>
            <rFont val="Tahoma"/>
            <charset val="1"/>
          </rPr>
          <t>Mayo Adhesive Probability (MAP) Score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4" authorId="0" shapeId="0">
      <text>
        <r>
          <rPr>
            <sz val="9"/>
            <color indexed="81"/>
            <rFont val="Tahoma"/>
            <family val="2"/>
            <charset val="204"/>
          </rPr>
          <t>Вращение вокруг продольной оси почки (ворота поворачиваются дорсально или вентрально)</t>
        </r>
      </text>
    </comment>
    <comment ref="P4" authorId="0" shapeId="0">
      <text>
        <r>
          <rPr>
            <sz val="9"/>
            <color indexed="81"/>
            <rFont val="Tahoma"/>
            <family val="2"/>
            <charset val="204"/>
          </rPr>
          <t>Наклон верхнего полюса вперед/назад.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4" authorId="0" shapeId="0">
      <text>
        <r>
          <rPr>
            <sz val="9"/>
            <color indexed="81"/>
            <rFont val="Tahoma"/>
            <family val="2"/>
            <charset val="204"/>
          </rPr>
          <t xml:space="preserve">Поворот полюсов относительно позвоночника во фронтальной плоскости
</t>
        </r>
      </text>
    </comment>
    <comment ref="R4" authorId="0" shapeId="0">
      <text>
        <r>
          <rPr>
            <sz val="9"/>
            <color indexed="81"/>
            <rFont val="Tahoma"/>
            <family val="2"/>
            <charset val="204"/>
          </rPr>
          <t xml:space="preserve">Евклидово расстояние от устья артерии до первой бифуркации в воротах.
</t>
        </r>
      </text>
    </comment>
    <comment ref="S4" authorId="0" shapeId="0">
      <text>
        <r>
          <rPr>
            <sz val="9"/>
            <color indexed="81"/>
            <rFont val="Tahoma"/>
            <family val="2"/>
            <charset val="204"/>
          </rPr>
          <t xml:space="preserve">Угол между вектором артерии и осью аорты (Z).
</t>
        </r>
      </text>
    </comment>
    <comment ref="T4" authorId="0" shapeId="0">
      <text>
        <r>
          <rPr>
            <sz val="9"/>
            <color indexed="81"/>
            <rFont val="Tahoma"/>
            <family val="2"/>
            <charset val="204"/>
          </rPr>
          <t xml:space="preserve">Угол отклонения артерии от горизонтали в аксиальной плоскости.
</t>
        </r>
      </text>
    </comment>
    <comment ref="U4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Отношение реальной длины сосуда (по кривой) к кратчайшему расстоянию (прямой линии) между точками. TI = Lполное/Lлинейное
</t>
        </r>
      </text>
    </comment>
    <comment ref="AF4" authorId="0" shapeId="0">
      <text>
        <r>
          <rPr>
            <sz val="9"/>
            <color indexed="81"/>
            <rFont val="Tahoma"/>
            <family val="2"/>
            <charset val="204"/>
          </rPr>
          <t>Вращение вокруг продольной оси почки (ворота поворачиваются дорсально или вентрально)</t>
        </r>
      </text>
    </comment>
    <comment ref="AG4" authorId="0" shapeId="0">
      <text>
        <r>
          <rPr>
            <sz val="9"/>
            <color indexed="81"/>
            <rFont val="Tahoma"/>
            <family val="2"/>
            <charset val="204"/>
          </rPr>
          <t>Наклон верхнего полюса вперед/назад.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H4" authorId="0" shapeId="0">
      <text>
        <r>
          <rPr>
            <sz val="9"/>
            <color indexed="81"/>
            <rFont val="Tahoma"/>
            <family val="2"/>
            <charset val="204"/>
          </rPr>
          <t xml:space="preserve">Поворот полюсов относительно позвоночника во фронтальной плоскости
</t>
        </r>
      </text>
    </comment>
    <comment ref="AI4" authorId="0" shapeId="0">
      <text>
        <r>
          <rPr>
            <sz val="9"/>
            <color indexed="81"/>
            <rFont val="Tahoma"/>
            <family val="2"/>
            <charset val="204"/>
          </rPr>
          <t xml:space="preserve">Евклидово расстояние от устья артерии до первой бифуркации в воротах.
</t>
        </r>
      </text>
    </comment>
    <comment ref="AJ4" authorId="0" shapeId="0">
      <text>
        <r>
          <rPr>
            <sz val="9"/>
            <color indexed="81"/>
            <rFont val="Tahoma"/>
            <family val="2"/>
            <charset val="204"/>
          </rPr>
          <t xml:space="preserve">Угол между вектором артерии и осью аорты (Z).
</t>
        </r>
      </text>
    </comment>
    <comment ref="AK4" authorId="0" shapeId="0">
      <text>
        <r>
          <rPr>
            <sz val="9"/>
            <color indexed="81"/>
            <rFont val="Tahoma"/>
            <family val="2"/>
            <charset val="204"/>
          </rPr>
          <t xml:space="preserve">Угол отклонения артерии от горизонтали в аксиальной плоскости.
</t>
        </r>
      </text>
    </comment>
    <comment ref="AL4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Отношение реальной длины сосуда (по кривой) к кратчайшему расстоянию (прямой линии) между точками. TI = Lполное/Lлинейное
</t>
        </r>
      </text>
    </comment>
    <comment ref="AW4" authorId="0" shapeId="0">
      <text>
        <r>
          <rPr>
            <sz val="9"/>
            <color indexed="81"/>
            <rFont val="Tahoma"/>
            <family val="2"/>
            <charset val="204"/>
          </rPr>
          <t>Вращение вокруг продольной оси почки (ворота поворачиваются дорсально или вентрально)</t>
        </r>
      </text>
    </comment>
    <comment ref="AX4" authorId="0" shapeId="0">
      <text>
        <r>
          <rPr>
            <sz val="9"/>
            <color indexed="81"/>
            <rFont val="Tahoma"/>
            <family val="2"/>
            <charset val="204"/>
          </rPr>
          <t>Наклон верхнего полюса вперед/назад.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Y4" authorId="0" shapeId="0">
      <text>
        <r>
          <rPr>
            <sz val="9"/>
            <color indexed="81"/>
            <rFont val="Tahoma"/>
            <family val="2"/>
            <charset val="204"/>
          </rPr>
          <t xml:space="preserve">Поворот полюсов относительно позвоночника во фронтальной плоскости
</t>
        </r>
      </text>
    </comment>
    <comment ref="AZ4" authorId="0" shapeId="0">
      <text>
        <r>
          <rPr>
            <sz val="9"/>
            <color indexed="81"/>
            <rFont val="Tahoma"/>
            <family val="2"/>
            <charset val="204"/>
          </rPr>
          <t xml:space="preserve">Евклидово расстояние от устья артерии до первой бифуркации в воротах.
</t>
        </r>
      </text>
    </comment>
    <comment ref="BB4" authorId="0" shapeId="0">
      <text>
        <r>
          <rPr>
            <sz val="9"/>
            <color indexed="81"/>
            <rFont val="Tahoma"/>
            <family val="2"/>
            <charset val="204"/>
          </rPr>
          <t xml:space="preserve">Угол отклонения артерии от горизонтали в аксиальной плоскости.
</t>
        </r>
      </text>
    </comment>
    <comment ref="BC4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Отношение реальной длины сосуда (по кривой) к кратчайшему расстоянию (прямой линии) между точками. TI = Lполное/Lлинейное
</t>
        </r>
      </text>
    </comment>
    <comment ref="BN4" authorId="0" shapeId="0">
      <text>
        <r>
          <rPr>
            <sz val="9"/>
            <color indexed="81"/>
            <rFont val="Tahoma"/>
            <family val="2"/>
            <charset val="204"/>
          </rPr>
          <t>Вращение вокруг продольной оси почки (ворота поворачиваются дорсально или вентрально)</t>
        </r>
      </text>
    </comment>
    <comment ref="BO4" authorId="0" shapeId="0">
      <text>
        <r>
          <rPr>
            <sz val="9"/>
            <color indexed="81"/>
            <rFont val="Tahoma"/>
            <family val="2"/>
            <charset val="204"/>
          </rPr>
          <t>Наклон верхнего полюса вперед/назад.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P4" authorId="0" shapeId="0">
      <text>
        <r>
          <rPr>
            <sz val="9"/>
            <color indexed="81"/>
            <rFont val="Tahoma"/>
            <family val="2"/>
            <charset val="204"/>
          </rPr>
          <t xml:space="preserve">Поворот полюсов относительно позвоночника во фронтальной плоскости
</t>
        </r>
      </text>
    </comment>
    <comment ref="BQ4" authorId="0" shapeId="0">
      <text>
        <r>
          <rPr>
            <sz val="9"/>
            <color indexed="81"/>
            <rFont val="Tahoma"/>
            <family val="2"/>
            <charset val="204"/>
          </rPr>
          <t xml:space="preserve">Евклидово расстояние от устья артерии до первой бифуркации в воротах.
</t>
        </r>
      </text>
    </comment>
    <comment ref="BS4" authorId="0" shapeId="0">
      <text>
        <r>
          <rPr>
            <sz val="9"/>
            <color indexed="81"/>
            <rFont val="Tahoma"/>
            <family val="2"/>
            <charset val="204"/>
          </rPr>
          <t xml:space="preserve">Угол отклонения артерии от горизонтали в аксиальной плоскости.
</t>
        </r>
      </text>
    </comment>
    <comment ref="BT4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Отношение реальной длины сосуда (по кривой) к кратчайшему расстоянию (прямой линии) между точками. TI = Lполное/Lлинейное
</t>
        </r>
      </text>
    </comment>
    <comment ref="CP4" authorId="0" shapeId="0">
      <text>
        <r>
          <rPr>
            <sz val="9"/>
            <color indexed="81"/>
            <rFont val="Tahoma"/>
            <family val="2"/>
            <charset val="204"/>
          </rPr>
          <t>Наклон верхнего полюса вперед/назад.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R4" authorId="0" shapeId="0">
      <text>
        <r>
          <rPr>
            <sz val="9"/>
            <color indexed="81"/>
            <rFont val="Tahoma"/>
            <family val="2"/>
            <charset val="204"/>
          </rPr>
          <t xml:space="preserve">Поворот полюсов относительно позвоночника во фронтальной плоскости
</t>
        </r>
      </text>
    </comment>
    <comment ref="CT4" authorId="0" shapeId="0">
      <text>
        <r>
          <rPr>
            <sz val="9"/>
            <color indexed="81"/>
            <rFont val="Tahoma"/>
            <family val="2"/>
            <charset val="204"/>
          </rPr>
          <t xml:space="preserve">Евклидово расстояние от устья артерии до первой бифуркации в воротах.
</t>
        </r>
      </text>
    </comment>
    <comment ref="CX4" authorId="0" shapeId="0">
      <text>
        <r>
          <rPr>
            <sz val="9"/>
            <color indexed="81"/>
            <rFont val="Tahoma"/>
            <family val="2"/>
            <charset val="204"/>
          </rPr>
          <t xml:space="preserve">Угол отклонения артерии от горизонтали в аксиальной плоскости.
</t>
        </r>
      </text>
    </comment>
    <comment ref="CZ4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Отношение реальной длины сосуда (по кривой) к кратчайшему расстоянию (прямой линии) между точками. TI = Lполное/Lлинейное
</t>
        </r>
      </text>
    </comment>
    <comment ref="DV4" authorId="0" shapeId="0">
      <text>
        <r>
          <rPr>
            <sz val="9"/>
            <color indexed="81"/>
            <rFont val="Tahoma"/>
            <family val="2"/>
            <charset val="204"/>
          </rPr>
          <t>Наклон верхнего полюса вперед/назад.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X4" authorId="0" shapeId="0">
      <text>
        <r>
          <rPr>
            <sz val="9"/>
            <color indexed="81"/>
            <rFont val="Tahoma"/>
            <family val="2"/>
            <charset val="204"/>
          </rPr>
          <t xml:space="preserve">Поворот полюсов относительно позвоночника во фронтальной плоскости
</t>
        </r>
      </text>
    </comment>
    <comment ref="DZ4" authorId="0" shapeId="0">
      <text>
        <r>
          <rPr>
            <sz val="9"/>
            <color indexed="81"/>
            <rFont val="Tahoma"/>
            <family val="2"/>
            <charset val="204"/>
          </rPr>
          <t xml:space="preserve">Евклидово расстояние от устья артерии до первой бифуркации в воротах.
</t>
        </r>
      </text>
    </comment>
    <comment ref="ED4" authorId="0" shapeId="0">
      <text>
        <r>
          <rPr>
            <sz val="9"/>
            <color indexed="81"/>
            <rFont val="Tahoma"/>
            <family val="2"/>
            <charset val="204"/>
          </rPr>
          <t xml:space="preserve">Угол отклонения артерии от горизонтали в аксиальной плоскости.
</t>
        </r>
      </text>
    </comment>
    <comment ref="EF4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Отношение реальной длины сосуда (по кривой) к кратчайшему расстоянию (прямой линии) между точками. TI = Lполное/Lлинейное
</t>
        </r>
      </text>
    </comment>
    <comment ref="H5" authorId="0" shapeId="0">
      <text>
        <r>
          <rPr>
            <sz val="9"/>
            <color indexed="81"/>
            <rFont val="Tahoma"/>
            <charset val="1"/>
          </rPr>
          <t xml:space="preserve">Растояние от верхней замыкательной пластинки L1до центроида трети почки
</t>
        </r>
      </text>
    </comment>
    <comment ref="K5" authorId="0" shapeId="0">
      <text>
        <r>
          <rPr>
            <sz val="9"/>
            <color indexed="81"/>
            <rFont val="Tahoma"/>
            <charset val="1"/>
          </rPr>
          <t xml:space="preserve">Растояние от верхней замыкательной пластинки L1до центроида трети почки
</t>
        </r>
      </text>
    </comment>
    <comment ref="N5" authorId="0" shapeId="0">
      <text>
        <r>
          <rPr>
            <sz val="9"/>
            <color indexed="81"/>
            <rFont val="Tahoma"/>
            <charset val="1"/>
          </rPr>
          <t xml:space="preserve">Растояние от верхней замыкательной пластинки L1до центроида трети почки
</t>
        </r>
      </text>
    </comment>
  </commentList>
</comments>
</file>

<file path=xl/sharedStrings.xml><?xml version="1.0" encoding="utf-8"?>
<sst xmlns="http://schemas.openxmlformats.org/spreadsheetml/2006/main" count="218" uniqueCount="85">
  <si>
    <t>№</t>
  </si>
  <si>
    <t>ФИО</t>
  </si>
  <si>
    <t>Пол</t>
  </si>
  <si>
    <t>Возраст</t>
  </si>
  <si>
    <t>Телосложение</t>
  </si>
  <si>
    <t>Правая почка</t>
  </si>
  <si>
    <t>На спине</t>
  </si>
  <si>
    <t>На боку</t>
  </si>
  <si>
    <t>Ось Х</t>
  </si>
  <si>
    <t>Ось Y</t>
  </si>
  <si>
    <t>Ось Z</t>
  </si>
  <si>
    <t>Координаты почки</t>
  </si>
  <si>
    <t>Угол ротации почки</t>
  </si>
  <si>
    <t>Параметры сосудистой ножки</t>
  </si>
  <si>
    <t>L</t>
  </si>
  <si>
    <t>∠Проваливания</t>
  </si>
  <si>
    <t>Индекс извитости</t>
  </si>
  <si>
    <t>(MAP) Score</t>
  </si>
  <si>
    <t>∠Отхождения</t>
  </si>
  <si>
    <t>Левая почка</t>
  </si>
  <si>
    <t>Разница показателей</t>
  </si>
  <si>
    <t>Верхняя треть</t>
  </si>
  <si>
    <t>Средняя треть</t>
  </si>
  <si>
    <t>Нижняя треть</t>
  </si>
  <si>
    <t>Ось Х (мм)</t>
  </si>
  <si>
    <t>Ось Y (мм)</t>
  </si>
  <si>
    <t>Ось Z (мм)</t>
  </si>
  <si>
    <t>∠ А°</t>
  </si>
  <si>
    <t>∠ В°</t>
  </si>
  <si>
    <t>∠ С°</t>
  </si>
  <si>
    <t>∠Отхождения°</t>
  </si>
  <si>
    <t>∠Проваливания°</t>
  </si>
  <si>
    <t>Индекс извитости°</t>
  </si>
  <si>
    <t>Плешкова</t>
  </si>
  <si>
    <t>ж</t>
  </si>
  <si>
    <t>норма</t>
  </si>
  <si>
    <t>Δ  Ось Х (мм/%)</t>
  </si>
  <si>
    <t xml:space="preserve"> Δ Ось Y (мм/%)</t>
  </si>
  <si>
    <t>Δ  Ось Z (мм/%)</t>
  </si>
  <si>
    <t>Δ Ось Х (мм/%)</t>
  </si>
  <si>
    <t>Δ  Ось Y (мм/%)</t>
  </si>
  <si>
    <t>Δ ∠ А(°/%)</t>
  </si>
  <si>
    <t>Δ  ∠ В (°/%)</t>
  </si>
  <si>
    <t xml:space="preserve"> Δ ∠ С (°/%)</t>
  </si>
  <si>
    <t>Δ  L (мм/%)</t>
  </si>
  <si>
    <t>Δ  ∠Отхождения (°/%)</t>
  </si>
  <si>
    <t>Δ  ∠Проваливания (°/%)</t>
  </si>
  <si>
    <t xml:space="preserve">Δ  Индекс извитости </t>
  </si>
  <si>
    <t>Δ Ось Z (мм/%)</t>
  </si>
  <si>
    <t>Ёркин</t>
  </si>
  <si>
    <t>м</t>
  </si>
  <si>
    <t>Тарасенко</t>
  </si>
  <si>
    <t>Соболева</t>
  </si>
  <si>
    <t>Алиева</t>
  </si>
  <si>
    <t>астеническое</t>
  </si>
  <si>
    <t xml:space="preserve"> </t>
  </si>
  <si>
    <t>Токуренова</t>
  </si>
  <si>
    <t>L (мм)</t>
  </si>
  <si>
    <t>Булдячев</t>
  </si>
  <si>
    <t>Карасева</t>
  </si>
  <si>
    <t>Зорина</t>
  </si>
  <si>
    <t>Дерябина</t>
  </si>
  <si>
    <t>Данилкин</t>
  </si>
  <si>
    <t>Бугрова</t>
  </si>
  <si>
    <t>Ащеулова</t>
  </si>
  <si>
    <t>Абрамович</t>
  </si>
  <si>
    <t>Абдурахманов</t>
  </si>
  <si>
    <t>М</t>
  </si>
  <si>
    <t>Ж</t>
  </si>
  <si>
    <t>Козлова</t>
  </si>
  <si>
    <t>Степанов</t>
  </si>
  <si>
    <t>Илюшечкина</t>
  </si>
  <si>
    <t>Плотников</t>
  </si>
  <si>
    <t>Обидина</t>
  </si>
  <si>
    <t>Маркин</t>
  </si>
  <si>
    <t>Николаева</t>
  </si>
  <si>
    <t>Дьяконов</t>
  </si>
  <si>
    <t>Ибрагимов</t>
  </si>
  <si>
    <t>Капустина</t>
  </si>
  <si>
    <t>Зуган</t>
  </si>
  <si>
    <t>-</t>
  </si>
  <si>
    <t>Антипов</t>
  </si>
  <si>
    <t>Аракелян</t>
  </si>
  <si>
    <t>Болтаев</t>
  </si>
  <si>
    <t>Губдраилова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</si>
</sst>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4"/>
      <color theme="1"/>
      <name val="Times New Roman"/>
      <family val="1"/>
      <charset val="204"/>
    </font>
    <font>
      <sz val="14"/>
      <color theme="0"/>
      <name val="Times New Roman"/>
      <family val="1"/>
      <charset val="204"/>
    </font>
    <font>
      <sz val="14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3" fillId="9" borderId="0" applyNumberFormat="0" applyBorder="0" applyAlignment="0" applyProtection="0"/>
    <xf numFmtId="0" fontId="2" fillId="10" borderId="0" applyNumberFormat="0" applyBorder="0" applyAlignment="0" applyProtection="0"/>
    <xf numFmtId="0" fontId="1" fillId="11" borderId="0" applyNumberFormat="0" applyBorder="0" applyAlignment="0" applyProtection="0"/>
  </cellStyleXfs>
  <cellXfs count="46">
    <xf numFmtId="0" fontId="0" fillId="0" borderId="0" xfId="0"/>
    <xf numFmtId="0" fontId="7" fillId="8" borderId="1" xfId="7" applyFont="1" applyBorder="1" applyAlignment="1">
      <alignment horizontal="center" vertical="center"/>
    </xf>
    <xf numFmtId="0" fontId="7" fillId="10" borderId="1" xfId="9" applyFont="1" applyBorder="1" applyAlignment="1">
      <alignment horizontal="center" vertical="center"/>
    </xf>
    <xf numFmtId="0" fontId="7" fillId="3" borderId="1" xfId="2" applyFont="1" applyBorder="1"/>
    <xf numFmtId="0" fontId="7" fillId="7" borderId="1" xfId="6" applyFont="1" applyBorder="1"/>
    <xf numFmtId="0" fontId="7" fillId="11" borderId="1" xfId="10" applyFont="1" applyBorder="1"/>
    <xf numFmtId="0" fontId="7" fillId="0" borderId="0" xfId="0" applyFont="1"/>
    <xf numFmtId="0" fontId="7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10" fontId="7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0" fontId="11" fillId="0" borderId="0" xfId="0" applyFont="1"/>
    <xf numFmtId="0" fontId="7" fillId="8" borderId="1" xfId="7" applyFont="1" applyBorder="1" applyAlignment="1">
      <alignment horizontal="center" vertical="center"/>
    </xf>
    <xf numFmtId="0" fontId="7" fillId="7" borderId="1" xfId="6" applyFont="1" applyBorder="1" applyAlignment="1">
      <alignment horizontal="center"/>
    </xf>
    <xf numFmtId="0" fontId="7" fillId="7" borderId="1" xfId="6" applyFont="1" applyBorder="1" applyAlignment="1">
      <alignment horizontal="center" vertical="center"/>
    </xf>
    <xf numFmtId="0" fontId="2" fillId="7" borderId="1" xfId="6" applyBorder="1" applyAlignment="1">
      <alignment horizontal="center" vertical="center"/>
    </xf>
    <xf numFmtId="0" fontId="7" fillId="7" borderId="2" xfId="6" applyFont="1" applyBorder="1" applyAlignment="1">
      <alignment horizontal="center"/>
    </xf>
    <xf numFmtId="0" fontId="7" fillId="7" borderId="3" xfId="6" applyFont="1" applyBorder="1" applyAlignment="1">
      <alignment horizontal="center"/>
    </xf>
    <xf numFmtId="0" fontId="7" fillId="7" borderId="4" xfId="6" applyFont="1" applyBorder="1" applyAlignment="1">
      <alignment horizontal="center"/>
    </xf>
    <xf numFmtId="0" fontId="8" fillId="2" borderId="5" xfId="1" applyFont="1" applyBorder="1" applyAlignment="1">
      <alignment horizontal="center"/>
    </xf>
    <xf numFmtId="0" fontId="8" fillId="9" borderId="5" xfId="8" applyFont="1" applyBorder="1" applyAlignment="1">
      <alignment horizontal="center"/>
    </xf>
    <xf numFmtId="0" fontId="7" fillId="11" borderId="1" xfId="10" applyFont="1" applyBorder="1" applyAlignment="1">
      <alignment horizontal="center"/>
    </xf>
    <xf numFmtId="0" fontId="7" fillId="10" borderId="1" xfId="9" applyFont="1" applyBorder="1" applyAlignment="1">
      <alignment horizontal="center" vertical="center"/>
    </xf>
    <xf numFmtId="0" fontId="7" fillId="10" borderId="2" xfId="9" applyFont="1" applyBorder="1" applyAlignment="1">
      <alignment horizontal="center" vertical="center"/>
    </xf>
    <xf numFmtId="0" fontId="7" fillId="11" borderId="2" xfId="10" applyFont="1" applyBorder="1" applyAlignment="1">
      <alignment horizontal="center"/>
    </xf>
    <xf numFmtId="0" fontId="7" fillId="11" borderId="3" xfId="10" applyFont="1" applyBorder="1" applyAlignment="1">
      <alignment horizontal="center"/>
    </xf>
    <xf numFmtId="0" fontId="7" fillId="11" borderId="4" xfId="10" applyFont="1" applyBorder="1" applyAlignment="1">
      <alignment horizontal="center"/>
    </xf>
    <xf numFmtId="0" fontId="7" fillId="11" borderId="1" xfId="10" applyFont="1" applyBorder="1" applyAlignment="1">
      <alignment horizontal="center" vertical="center"/>
    </xf>
    <xf numFmtId="0" fontId="7" fillId="10" borderId="3" xfId="9" applyFont="1" applyBorder="1" applyAlignment="1">
      <alignment horizontal="center" vertical="center"/>
    </xf>
    <xf numFmtId="0" fontId="7" fillId="10" borderId="4" xfId="9" applyFont="1" applyBorder="1" applyAlignment="1">
      <alignment horizontal="center" vertical="center"/>
    </xf>
    <xf numFmtId="0" fontId="7" fillId="8" borderId="2" xfId="7" applyFont="1" applyBorder="1" applyAlignment="1">
      <alignment horizontal="center" vertical="center"/>
    </xf>
    <xf numFmtId="0" fontId="7" fillId="8" borderId="3" xfId="7" applyFont="1" applyBorder="1" applyAlignment="1">
      <alignment horizontal="center" vertical="center"/>
    </xf>
    <xf numFmtId="0" fontId="7" fillId="8" borderId="4" xfId="7" applyFont="1" applyBorder="1" applyAlignment="1">
      <alignment horizontal="center" vertical="center"/>
    </xf>
    <xf numFmtId="0" fontId="2" fillId="8" borderId="1" xfId="7" applyBorder="1" applyAlignment="1">
      <alignment horizontal="center" vertical="center"/>
    </xf>
    <xf numFmtId="0" fontId="7" fillId="10" borderId="8" xfId="9" applyFont="1" applyBorder="1" applyAlignment="1">
      <alignment horizontal="center" vertical="center"/>
    </xf>
    <xf numFmtId="0" fontId="7" fillId="10" borderId="9" xfId="9" applyFont="1" applyBorder="1" applyAlignment="1">
      <alignment horizontal="center" vertical="center"/>
    </xf>
    <xf numFmtId="0" fontId="7" fillId="5" borderId="1" xfId="4" applyFont="1" applyBorder="1" applyAlignment="1">
      <alignment horizontal="center" vertical="center"/>
    </xf>
    <xf numFmtId="0" fontId="8" fillId="4" borderId="7" xfId="3" applyFont="1" applyBorder="1" applyAlignment="1">
      <alignment horizontal="center"/>
    </xf>
    <xf numFmtId="0" fontId="8" fillId="4" borderId="5" xfId="3" applyFont="1" applyBorder="1" applyAlignment="1">
      <alignment horizontal="center"/>
    </xf>
    <xf numFmtId="0" fontId="2" fillId="6" borderId="1" xfId="5" applyBorder="1" applyAlignment="1">
      <alignment horizontal="center" vertical="center"/>
    </xf>
    <xf numFmtId="0" fontId="7" fillId="5" borderId="1" xfId="4" applyFont="1" applyBorder="1" applyAlignment="1">
      <alignment horizontal="center"/>
    </xf>
    <xf numFmtId="0" fontId="7" fillId="3" borderId="0" xfId="2" applyFont="1" applyAlignment="1">
      <alignment horizontal="center"/>
    </xf>
    <xf numFmtId="0" fontId="7" fillId="3" borderId="5" xfId="2" applyFont="1" applyBorder="1" applyAlignment="1">
      <alignment horizontal="center"/>
    </xf>
    <xf numFmtId="0" fontId="2" fillId="6" borderId="1" xfId="5" applyBorder="1" applyAlignment="1">
      <alignment horizontal="center"/>
    </xf>
    <xf numFmtId="0" fontId="12" fillId="0" borderId="0" xfId="0" applyFont="1"/>
  </cellXfs>
  <cellStyles count="11">
    <cellStyle name="40% — акцент3" xfId="4" builtinId="39"/>
    <cellStyle name="40% — акцент5" xfId="6" builtinId="47"/>
    <cellStyle name="40% — акцент6" xfId="10" builtinId="51"/>
    <cellStyle name="60% — акцент2" xfId="2" builtinId="36"/>
    <cellStyle name="60% — акцент3" xfId="5" builtinId="40"/>
    <cellStyle name="60% — акцент5" xfId="7" builtinId="48"/>
    <cellStyle name="60% — акцент6" xfId="9" builtinId="52"/>
    <cellStyle name="Акцент1" xfId="1" builtinId="29"/>
    <cellStyle name="Акцент3" xfId="3" builtinId="37"/>
    <cellStyle name="Акцент6" xfId="8" builtinId="4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G41"/>
  <sheetViews>
    <sheetView tabSelected="1" topLeftCell="A16" zoomScale="55" zoomScaleNormal="55" workbookViewId="0">
      <selection activeCell="D22" sqref="D22"/>
    </sheetView>
  </sheetViews>
  <sheetFormatPr defaultRowHeight="15" x14ac:dyDescent="0.25"/>
  <cols>
    <col min="1" max="1" width="9.28515625" bestFit="1" customWidth="1"/>
    <col min="2" max="2" width="13.42578125" customWidth="1"/>
    <col min="4" max="4" width="9.28515625" bestFit="1" customWidth="1"/>
    <col min="5" max="5" width="21" customWidth="1"/>
    <col min="6" max="6" width="13" customWidth="1"/>
    <col min="7" max="7" width="13.42578125" customWidth="1"/>
    <col min="8" max="8" width="14.5703125" customWidth="1"/>
    <col min="9" max="9" width="10.7109375" customWidth="1"/>
    <col min="10" max="10" width="11.5703125" customWidth="1"/>
    <col min="11" max="11" width="10.5703125" customWidth="1"/>
    <col min="12" max="12" width="10.7109375" customWidth="1"/>
    <col min="13" max="13" width="14.7109375" customWidth="1"/>
    <col min="14" max="14" width="13.5703125" customWidth="1"/>
    <col min="15" max="15" width="7.42578125" customWidth="1"/>
    <col min="16" max="17" width="9.28515625" bestFit="1" customWidth="1"/>
    <col min="19" max="19" width="17.140625" customWidth="1"/>
    <col min="20" max="20" width="18.7109375" customWidth="1"/>
    <col min="21" max="21" width="20.85546875" customWidth="1"/>
    <col min="22" max="22" width="14.85546875" customWidth="1"/>
    <col min="23" max="23" width="14.5703125" customWidth="1"/>
    <col min="24" max="24" width="17.42578125" customWidth="1"/>
    <col min="25" max="25" width="20.28515625" customWidth="1"/>
    <col min="26" max="26" width="15" customWidth="1"/>
    <col min="27" max="32" width="9.28515625" bestFit="1" customWidth="1"/>
    <col min="33" max="33" width="9.7109375" customWidth="1"/>
    <col min="34" max="34" width="8.42578125" customWidth="1"/>
    <col min="35" max="35" width="16.140625" customWidth="1"/>
    <col min="36" max="36" width="16.5703125" customWidth="1"/>
    <col min="37" max="37" width="17" customWidth="1"/>
    <col min="38" max="38" width="21.5703125" customWidth="1"/>
    <col min="39" max="39" width="15" customWidth="1"/>
    <col min="40" max="40" width="13.28515625" customWidth="1"/>
    <col min="41" max="41" width="14.7109375" customWidth="1"/>
    <col min="42" max="42" width="14" customWidth="1"/>
    <col min="43" max="43" width="14.28515625" customWidth="1"/>
    <col min="44" max="44" width="14" customWidth="1"/>
    <col min="45" max="45" width="18.140625" customWidth="1"/>
    <col min="46" max="46" width="15.85546875" customWidth="1"/>
    <col min="47" max="47" width="13.85546875" customWidth="1"/>
    <col min="48" max="48" width="13.140625" customWidth="1"/>
    <col min="49" max="52" width="9.28515625" bestFit="1" customWidth="1"/>
    <col min="53" max="53" width="18.7109375" customWidth="1"/>
    <col min="54" max="54" width="20.28515625" customWidth="1"/>
    <col min="55" max="55" width="25.85546875" customWidth="1"/>
    <col min="56" max="56" width="24.42578125" customWidth="1"/>
    <col min="57" max="57" width="13.5703125" customWidth="1"/>
    <col min="58" max="60" width="9.28515625" bestFit="1" customWidth="1"/>
    <col min="61" max="61" width="11.28515625" customWidth="1"/>
    <col min="62" max="63" width="9.28515625" bestFit="1" customWidth="1"/>
    <col min="64" max="64" width="8" customWidth="1"/>
    <col min="65" max="65" width="13" customWidth="1"/>
    <col min="66" max="66" width="10.140625" customWidth="1"/>
    <col min="67" max="68" width="9.28515625" bestFit="1" customWidth="1"/>
    <col min="69" max="69" width="8.28515625" customWidth="1"/>
    <col min="70" max="70" width="20.140625" customWidth="1"/>
    <col min="71" max="71" width="21.85546875" customWidth="1"/>
    <col min="72" max="72" width="26.85546875" customWidth="1"/>
    <col min="73" max="73" width="17.85546875" customWidth="1"/>
    <col min="74" max="74" width="9.28515625" bestFit="1" customWidth="1"/>
    <col min="75" max="75" width="12.140625" customWidth="1"/>
    <col min="76" max="76" width="9.28515625" bestFit="1" customWidth="1"/>
    <col min="77" max="77" width="13.7109375" customWidth="1"/>
    <col min="78" max="78" width="9.28515625" bestFit="1" customWidth="1"/>
    <col min="79" max="79" width="10.140625" bestFit="1" customWidth="1"/>
    <col min="80" max="80" width="9.28515625" bestFit="1" customWidth="1"/>
    <col min="81" max="81" width="10.85546875" bestFit="1" customWidth="1"/>
    <col min="82" max="82" width="9.28515625" bestFit="1" customWidth="1"/>
    <col min="83" max="83" width="13.28515625" customWidth="1"/>
    <col min="84" max="84" width="9.28515625" bestFit="1" customWidth="1"/>
    <col min="85" max="85" width="10.140625" bestFit="1" customWidth="1"/>
    <col min="86" max="86" width="13.7109375" customWidth="1"/>
    <col min="87" max="87" width="13" customWidth="1"/>
    <col min="89" max="89" width="13.140625" customWidth="1"/>
    <col min="91" max="91" width="10.28515625" customWidth="1"/>
    <col min="93" max="93" width="12.85546875" customWidth="1"/>
    <col min="95" max="95" width="13.28515625" customWidth="1"/>
    <col min="97" max="97" width="14.5703125" customWidth="1"/>
    <col min="98" max="98" width="10.5703125" bestFit="1" customWidth="1"/>
    <col min="99" max="99" width="16" customWidth="1"/>
    <col min="100" max="100" width="13.85546875" customWidth="1"/>
    <col min="101" max="101" width="12.85546875" customWidth="1"/>
    <col min="102" max="102" width="16.28515625" customWidth="1"/>
    <col min="103" max="103" width="18.7109375" customWidth="1"/>
    <col min="105" max="105" width="20" customWidth="1"/>
    <col min="109" max="109" width="11.5703125" customWidth="1"/>
    <col min="111" max="111" width="20.42578125" customWidth="1"/>
    <col min="112" max="112" width="13" customWidth="1"/>
    <col min="113" max="113" width="12.42578125" customWidth="1"/>
    <col min="115" max="115" width="9.42578125" bestFit="1" customWidth="1"/>
    <col min="117" max="117" width="15.85546875" customWidth="1"/>
    <col min="118" max="118" width="16.140625" customWidth="1"/>
    <col min="119" max="119" width="14.28515625" customWidth="1"/>
    <col min="121" max="121" width="18" customWidth="1"/>
    <col min="123" max="123" width="15.85546875" customWidth="1"/>
    <col min="125" max="125" width="15.140625" customWidth="1"/>
    <col min="127" max="127" width="11.5703125" customWidth="1"/>
    <col min="129" max="129" width="12.42578125" customWidth="1"/>
    <col min="130" max="130" width="8.28515625" customWidth="1"/>
    <col min="131" max="131" width="14.140625" customWidth="1"/>
    <col min="133" max="133" width="13.28515625" customWidth="1"/>
    <col min="135" max="135" width="14.42578125" customWidth="1"/>
    <col min="136" max="136" width="14.7109375" customWidth="1"/>
  </cols>
  <sheetData>
    <row r="1" spans="1:137" ht="18.75" x14ac:dyDescent="0.3">
      <c r="A1" s="42"/>
      <c r="B1" s="42"/>
      <c r="C1" s="42"/>
      <c r="D1" s="42"/>
      <c r="E1" s="42"/>
      <c r="F1" s="20" t="s">
        <v>5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1" t="s">
        <v>19</v>
      </c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38" t="s">
        <v>20</v>
      </c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</row>
    <row r="2" spans="1:137" ht="18.75" x14ac:dyDescent="0.3">
      <c r="A2" s="42"/>
      <c r="B2" s="42"/>
      <c r="C2" s="42"/>
      <c r="D2" s="42"/>
      <c r="E2" s="42"/>
      <c r="F2" s="14" t="s">
        <v>6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3" t="s">
        <v>7</v>
      </c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22" t="s">
        <v>6</v>
      </c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3" t="s">
        <v>7</v>
      </c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4"/>
      <c r="BV2" s="37" t="s">
        <v>5</v>
      </c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40" t="s">
        <v>19</v>
      </c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</row>
    <row r="3" spans="1:137" ht="18.75" x14ac:dyDescent="0.3">
      <c r="A3" s="42"/>
      <c r="B3" s="42"/>
      <c r="C3" s="42"/>
      <c r="D3" s="42"/>
      <c r="E3" s="42"/>
      <c r="F3" s="14" t="s">
        <v>11</v>
      </c>
      <c r="G3" s="14"/>
      <c r="H3" s="14"/>
      <c r="I3" s="14"/>
      <c r="J3" s="14"/>
      <c r="K3" s="14"/>
      <c r="L3" s="14"/>
      <c r="M3" s="14"/>
      <c r="N3" s="14"/>
      <c r="O3" s="17" t="s">
        <v>12</v>
      </c>
      <c r="P3" s="18"/>
      <c r="Q3" s="19"/>
      <c r="R3" s="14" t="s">
        <v>13</v>
      </c>
      <c r="S3" s="14"/>
      <c r="T3" s="14"/>
      <c r="U3" s="14"/>
      <c r="V3" s="16" t="s">
        <v>17</v>
      </c>
      <c r="W3" s="13" t="s">
        <v>11</v>
      </c>
      <c r="X3" s="13"/>
      <c r="Y3" s="13"/>
      <c r="Z3" s="13"/>
      <c r="AA3" s="13"/>
      <c r="AB3" s="13"/>
      <c r="AC3" s="13"/>
      <c r="AD3" s="13"/>
      <c r="AE3" s="13"/>
      <c r="AF3" s="31" t="s">
        <v>12</v>
      </c>
      <c r="AG3" s="32"/>
      <c r="AH3" s="33"/>
      <c r="AI3" s="13" t="s">
        <v>13</v>
      </c>
      <c r="AJ3" s="13"/>
      <c r="AK3" s="13"/>
      <c r="AL3" s="13"/>
      <c r="AM3" s="34" t="s">
        <v>17</v>
      </c>
      <c r="AN3" s="22" t="s">
        <v>11</v>
      </c>
      <c r="AO3" s="22"/>
      <c r="AP3" s="22"/>
      <c r="AQ3" s="22"/>
      <c r="AR3" s="22"/>
      <c r="AS3" s="22"/>
      <c r="AT3" s="22"/>
      <c r="AU3" s="22"/>
      <c r="AV3" s="22"/>
      <c r="AW3" s="25" t="s">
        <v>12</v>
      </c>
      <c r="AX3" s="26"/>
      <c r="AY3" s="27"/>
      <c r="AZ3" s="22" t="s">
        <v>13</v>
      </c>
      <c r="BA3" s="22"/>
      <c r="BB3" s="22"/>
      <c r="BC3" s="22"/>
      <c r="BD3" s="28" t="s">
        <v>17</v>
      </c>
      <c r="BE3" s="23" t="s">
        <v>11</v>
      </c>
      <c r="BF3" s="23"/>
      <c r="BG3" s="23"/>
      <c r="BH3" s="23"/>
      <c r="BI3" s="23"/>
      <c r="BJ3" s="23"/>
      <c r="BK3" s="23"/>
      <c r="BL3" s="23"/>
      <c r="BM3" s="23"/>
      <c r="BN3" s="24" t="s">
        <v>12</v>
      </c>
      <c r="BO3" s="29"/>
      <c r="BP3" s="30"/>
      <c r="BQ3" s="23" t="s">
        <v>13</v>
      </c>
      <c r="BR3" s="23"/>
      <c r="BS3" s="23"/>
      <c r="BT3" s="23"/>
      <c r="BU3" s="24" t="s">
        <v>17</v>
      </c>
      <c r="BV3" s="37" t="s">
        <v>11</v>
      </c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41" t="s">
        <v>12</v>
      </c>
      <c r="CO3" s="41"/>
      <c r="CP3" s="41"/>
      <c r="CQ3" s="41"/>
      <c r="CR3" s="41"/>
      <c r="CS3" s="41"/>
      <c r="CT3" s="37" t="s">
        <v>13</v>
      </c>
      <c r="CU3" s="37"/>
      <c r="CV3" s="37"/>
      <c r="CW3" s="37"/>
      <c r="CX3" s="37"/>
      <c r="CY3" s="37"/>
      <c r="CZ3" s="37"/>
      <c r="DA3" s="37"/>
      <c r="DB3" s="40" t="s">
        <v>11</v>
      </c>
      <c r="DC3" s="40"/>
      <c r="DD3" s="40"/>
      <c r="DE3" s="40"/>
      <c r="DF3" s="40"/>
      <c r="DG3" s="40"/>
      <c r="DH3" s="40"/>
      <c r="DI3" s="40"/>
      <c r="DJ3" s="40"/>
      <c r="DK3" s="40"/>
      <c r="DL3" s="40"/>
      <c r="DM3" s="40"/>
      <c r="DN3" s="40"/>
      <c r="DO3" s="40"/>
      <c r="DP3" s="40"/>
      <c r="DQ3" s="40"/>
      <c r="DR3" s="40"/>
      <c r="DS3" s="40"/>
      <c r="DT3" s="44" t="s">
        <v>12</v>
      </c>
      <c r="DU3" s="44"/>
      <c r="DV3" s="44"/>
      <c r="DW3" s="44"/>
      <c r="DX3" s="44"/>
      <c r="DY3" s="44"/>
      <c r="DZ3" s="40" t="s">
        <v>13</v>
      </c>
      <c r="EA3" s="40"/>
      <c r="EB3" s="40"/>
      <c r="EC3" s="40"/>
      <c r="ED3" s="40"/>
      <c r="EE3" s="40"/>
      <c r="EF3" s="40"/>
      <c r="EG3" s="40"/>
    </row>
    <row r="4" spans="1:137" ht="18.75" x14ac:dyDescent="0.3">
      <c r="A4" s="43"/>
      <c r="B4" s="43"/>
      <c r="C4" s="43"/>
      <c r="D4" s="43"/>
      <c r="E4" s="43"/>
      <c r="F4" s="14" t="s">
        <v>21</v>
      </c>
      <c r="G4" s="14"/>
      <c r="H4" s="14"/>
      <c r="I4" s="14" t="s">
        <v>22</v>
      </c>
      <c r="J4" s="14"/>
      <c r="K4" s="14"/>
      <c r="L4" s="14" t="s">
        <v>23</v>
      </c>
      <c r="M4" s="14"/>
      <c r="N4" s="14"/>
      <c r="O4" s="15" t="s">
        <v>27</v>
      </c>
      <c r="P4" s="15" t="s">
        <v>28</v>
      </c>
      <c r="Q4" s="15" t="s">
        <v>29</v>
      </c>
      <c r="R4" s="15" t="s">
        <v>57</v>
      </c>
      <c r="S4" s="15" t="s">
        <v>30</v>
      </c>
      <c r="T4" s="15" t="s">
        <v>31</v>
      </c>
      <c r="U4" s="15" t="s">
        <v>32</v>
      </c>
      <c r="V4" s="16"/>
      <c r="W4" s="13" t="s">
        <v>21</v>
      </c>
      <c r="X4" s="13"/>
      <c r="Y4" s="13"/>
      <c r="Z4" s="13" t="s">
        <v>22</v>
      </c>
      <c r="AA4" s="13"/>
      <c r="AB4" s="13"/>
      <c r="AC4" s="13" t="s">
        <v>23</v>
      </c>
      <c r="AD4" s="13"/>
      <c r="AE4" s="13"/>
      <c r="AF4" s="13" t="s">
        <v>27</v>
      </c>
      <c r="AG4" s="13" t="s">
        <v>28</v>
      </c>
      <c r="AH4" s="13" t="s">
        <v>29</v>
      </c>
      <c r="AI4" s="13" t="s">
        <v>57</v>
      </c>
      <c r="AJ4" s="13" t="s">
        <v>30</v>
      </c>
      <c r="AK4" s="13" t="s">
        <v>15</v>
      </c>
      <c r="AL4" s="13" t="s">
        <v>16</v>
      </c>
      <c r="AM4" s="34"/>
      <c r="AN4" s="22" t="s">
        <v>21</v>
      </c>
      <c r="AO4" s="22"/>
      <c r="AP4" s="22"/>
      <c r="AQ4" s="22" t="s">
        <v>22</v>
      </c>
      <c r="AR4" s="22"/>
      <c r="AS4" s="22"/>
      <c r="AT4" s="22" t="s">
        <v>23</v>
      </c>
      <c r="AU4" s="22"/>
      <c r="AV4" s="22"/>
      <c r="AW4" s="28" t="s">
        <v>27</v>
      </c>
      <c r="AX4" s="28" t="s">
        <v>28</v>
      </c>
      <c r="AY4" s="28" t="s">
        <v>29</v>
      </c>
      <c r="AZ4" s="28" t="s">
        <v>57</v>
      </c>
      <c r="BA4" s="28" t="s">
        <v>18</v>
      </c>
      <c r="BB4" s="28" t="s">
        <v>15</v>
      </c>
      <c r="BC4" s="28" t="s">
        <v>16</v>
      </c>
      <c r="BD4" s="28"/>
      <c r="BE4" s="23" t="s">
        <v>21</v>
      </c>
      <c r="BF4" s="23"/>
      <c r="BG4" s="23"/>
      <c r="BH4" s="23" t="s">
        <v>22</v>
      </c>
      <c r="BI4" s="23"/>
      <c r="BJ4" s="23"/>
      <c r="BK4" s="23" t="s">
        <v>23</v>
      </c>
      <c r="BL4" s="23"/>
      <c r="BM4" s="23"/>
      <c r="BN4" s="23" t="s">
        <v>27</v>
      </c>
      <c r="BO4" s="23" t="s">
        <v>28</v>
      </c>
      <c r="BP4" s="23" t="s">
        <v>29</v>
      </c>
      <c r="BQ4" s="35" t="s">
        <v>14</v>
      </c>
      <c r="BR4" s="23" t="s">
        <v>18</v>
      </c>
      <c r="BS4" s="23" t="s">
        <v>15</v>
      </c>
      <c r="BT4" s="23" t="s">
        <v>16</v>
      </c>
      <c r="BU4" s="24"/>
      <c r="BV4" s="37" t="s">
        <v>21</v>
      </c>
      <c r="BW4" s="37"/>
      <c r="BX4" s="37"/>
      <c r="BY4" s="37"/>
      <c r="BZ4" s="37"/>
      <c r="CA4" s="37"/>
      <c r="CB4" s="37" t="s">
        <v>22</v>
      </c>
      <c r="CC4" s="37"/>
      <c r="CD4" s="37"/>
      <c r="CE4" s="37"/>
      <c r="CF4" s="37"/>
      <c r="CG4" s="37"/>
      <c r="CH4" s="37" t="s">
        <v>23</v>
      </c>
      <c r="CI4" s="37"/>
      <c r="CJ4" s="37"/>
      <c r="CK4" s="37"/>
      <c r="CL4" s="37"/>
      <c r="CM4" s="37"/>
      <c r="CN4" s="37" t="s">
        <v>41</v>
      </c>
      <c r="CO4" s="37"/>
      <c r="CP4" s="37" t="s">
        <v>42</v>
      </c>
      <c r="CQ4" s="37"/>
      <c r="CR4" s="37" t="s">
        <v>43</v>
      </c>
      <c r="CS4" s="37"/>
      <c r="CT4" s="37" t="s">
        <v>44</v>
      </c>
      <c r="CU4" s="37"/>
      <c r="CV4" s="37" t="s">
        <v>45</v>
      </c>
      <c r="CW4" s="37"/>
      <c r="CX4" s="37" t="s">
        <v>46</v>
      </c>
      <c r="CY4" s="37"/>
      <c r="CZ4" s="37" t="s">
        <v>47</v>
      </c>
      <c r="DA4" s="37"/>
      <c r="DB4" s="40" t="s">
        <v>21</v>
      </c>
      <c r="DC4" s="40"/>
      <c r="DD4" s="40"/>
      <c r="DE4" s="40"/>
      <c r="DF4" s="40"/>
      <c r="DG4" s="40"/>
      <c r="DH4" s="40" t="s">
        <v>22</v>
      </c>
      <c r="DI4" s="40"/>
      <c r="DJ4" s="40"/>
      <c r="DK4" s="40"/>
      <c r="DL4" s="40"/>
      <c r="DM4" s="40"/>
      <c r="DN4" s="40" t="s">
        <v>23</v>
      </c>
      <c r="DO4" s="40"/>
      <c r="DP4" s="40"/>
      <c r="DQ4" s="40"/>
      <c r="DR4" s="40"/>
      <c r="DS4" s="40"/>
      <c r="DT4" s="40" t="s">
        <v>41</v>
      </c>
      <c r="DU4" s="40"/>
      <c r="DV4" s="40" t="s">
        <v>42</v>
      </c>
      <c r="DW4" s="40"/>
      <c r="DX4" s="40" t="s">
        <v>43</v>
      </c>
      <c r="DY4" s="40"/>
      <c r="DZ4" s="40" t="s">
        <v>44</v>
      </c>
      <c r="EA4" s="40"/>
      <c r="EB4" s="40" t="s">
        <v>45</v>
      </c>
      <c r="EC4" s="40"/>
      <c r="ED4" s="40" t="s">
        <v>46</v>
      </c>
      <c r="EE4" s="40"/>
      <c r="EF4" s="40" t="s">
        <v>47</v>
      </c>
      <c r="EG4" s="40"/>
    </row>
    <row r="5" spans="1:137" ht="18.75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4" t="s">
        <v>24</v>
      </c>
      <c r="G5" s="4" t="s">
        <v>25</v>
      </c>
      <c r="H5" s="4" t="s">
        <v>26</v>
      </c>
      <c r="I5" s="4" t="s">
        <v>24</v>
      </c>
      <c r="J5" s="4" t="s">
        <v>25</v>
      </c>
      <c r="K5" s="4" t="s">
        <v>26</v>
      </c>
      <c r="L5" s="4" t="s">
        <v>24</v>
      </c>
      <c r="M5" s="4" t="s">
        <v>25</v>
      </c>
      <c r="N5" s="4" t="s">
        <v>26</v>
      </c>
      <c r="O5" s="15"/>
      <c r="P5" s="15"/>
      <c r="Q5" s="15"/>
      <c r="R5" s="15"/>
      <c r="S5" s="15"/>
      <c r="T5" s="15"/>
      <c r="U5" s="15"/>
      <c r="V5" s="16"/>
      <c r="W5" s="1" t="s">
        <v>8</v>
      </c>
      <c r="X5" s="1" t="s">
        <v>9</v>
      </c>
      <c r="Y5" s="1" t="s">
        <v>10</v>
      </c>
      <c r="Z5" s="1" t="s">
        <v>8</v>
      </c>
      <c r="AA5" s="1" t="s">
        <v>9</v>
      </c>
      <c r="AB5" s="1" t="s">
        <v>10</v>
      </c>
      <c r="AC5" s="1" t="s">
        <v>8</v>
      </c>
      <c r="AD5" s="1" t="s">
        <v>9</v>
      </c>
      <c r="AE5" s="1" t="s">
        <v>10</v>
      </c>
      <c r="AF5" s="13"/>
      <c r="AG5" s="13"/>
      <c r="AH5" s="13"/>
      <c r="AI5" s="13"/>
      <c r="AJ5" s="13"/>
      <c r="AK5" s="13"/>
      <c r="AL5" s="13"/>
      <c r="AM5" s="34"/>
      <c r="AN5" s="5" t="s">
        <v>24</v>
      </c>
      <c r="AO5" s="5" t="s">
        <v>25</v>
      </c>
      <c r="AP5" s="5" t="s">
        <v>26</v>
      </c>
      <c r="AQ5" s="5" t="s">
        <v>24</v>
      </c>
      <c r="AR5" s="5" t="s">
        <v>25</v>
      </c>
      <c r="AS5" s="5" t="s">
        <v>26</v>
      </c>
      <c r="AT5" s="5" t="s">
        <v>24</v>
      </c>
      <c r="AU5" s="5" t="s">
        <v>25</v>
      </c>
      <c r="AV5" s="5" t="s">
        <v>26</v>
      </c>
      <c r="AW5" s="28"/>
      <c r="AX5" s="28"/>
      <c r="AY5" s="28"/>
      <c r="AZ5" s="28"/>
      <c r="BA5" s="28"/>
      <c r="BB5" s="28"/>
      <c r="BC5" s="28"/>
      <c r="BD5" s="28"/>
      <c r="BE5" s="2" t="s">
        <v>8</v>
      </c>
      <c r="BF5" s="2" t="s">
        <v>9</v>
      </c>
      <c r="BG5" s="2" t="s">
        <v>10</v>
      </c>
      <c r="BH5" s="2" t="s">
        <v>8</v>
      </c>
      <c r="BI5" s="2" t="s">
        <v>9</v>
      </c>
      <c r="BJ5" s="2" t="s">
        <v>10</v>
      </c>
      <c r="BK5" s="2" t="s">
        <v>8</v>
      </c>
      <c r="BL5" s="2" t="s">
        <v>9</v>
      </c>
      <c r="BM5" s="2" t="s">
        <v>10</v>
      </c>
      <c r="BN5" s="23"/>
      <c r="BO5" s="23"/>
      <c r="BP5" s="23"/>
      <c r="BQ5" s="36"/>
      <c r="BR5" s="23"/>
      <c r="BS5" s="23"/>
      <c r="BT5" s="23"/>
      <c r="BU5" s="24"/>
      <c r="BV5" s="37" t="s">
        <v>36</v>
      </c>
      <c r="BW5" s="37"/>
      <c r="BX5" s="37" t="s">
        <v>37</v>
      </c>
      <c r="BY5" s="37"/>
      <c r="BZ5" s="37" t="s">
        <v>38</v>
      </c>
      <c r="CA5" s="37"/>
      <c r="CB5" s="37" t="s">
        <v>39</v>
      </c>
      <c r="CC5" s="37"/>
      <c r="CD5" s="37" t="s">
        <v>40</v>
      </c>
      <c r="CE5" s="37"/>
      <c r="CF5" s="37" t="s">
        <v>48</v>
      </c>
      <c r="CG5" s="37"/>
      <c r="CH5" s="37" t="s">
        <v>36</v>
      </c>
      <c r="CI5" s="37"/>
      <c r="CJ5" s="37" t="s">
        <v>40</v>
      </c>
      <c r="CK5" s="37"/>
      <c r="CL5" s="37" t="s">
        <v>38</v>
      </c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40" t="s">
        <v>36</v>
      </c>
      <c r="DC5" s="40"/>
      <c r="DD5" s="40" t="s">
        <v>37</v>
      </c>
      <c r="DE5" s="40"/>
      <c r="DF5" s="40" t="s">
        <v>38</v>
      </c>
      <c r="DG5" s="40"/>
      <c r="DH5" s="40" t="s">
        <v>39</v>
      </c>
      <c r="DI5" s="40"/>
      <c r="DJ5" s="40" t="s">
        <v>40</v>
      </c>
      <c r="DK5" s="40"/>
      <c r="DL5" s="40" t="s">
        <v>48</v>
      </c>
      <c r="DM5" s="40"/>
      <c r="DN5" s="40" t="s">
        <v>36</v>
      </c>
      <c r="DO5" s="40"/>
      <c r="DP5" s="40" t="s">
        <v>40</v>
      </c>
      <c r="DQ5" s="40"/>
      <c r="DR5" s="40" t="s">
        <v>38</v>
      </c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</row>
    <row r="6" spans="1:137" ht="18.75" x14ac:dyDescent="0.3">
      <c r="A6" s="6">
        <v>1</v>
      </c>
      <c r="B6" s="6" t="s">
        <v>33</v>
      </c>
      <c r="C6" s="6" t="s">
        <v>34</v>
      </c>
      <c r="D6" s="6">
        <v>39</v>
      </c>
      <c r="E6" s="6" t="s">
        <v>35</v>
      </c>
      <c r="F6" s="6">
        <v>42.7</v>
      </c>
      <c r="G6" s="6">
        <v>12.8</v>
      </c>
      <c r="H6" s="6">
        <v>-51.9</v>
      </c>
      <c r="I6" s="6">
        <v>66.8</v>
      </c>
      <c r="J6" s="6">
        <v>26.5</v>
      </c>
      <c r="K6" s="6">
        <v>-103.4</v>
      </c>
      <c r="L6" s="6">
        <v>65.5</v>
      </c>
      <c r="M6" s="6">
        <v>32.700000000000003</v>
      </c>
      <c r="N6" s="6">
        <v>-149.5</v>
      </c>
      <c r="O6" s="7">
        <v>89</v>
      </c>
      <c r="P6" s="6">
        <v>72.599999999999994</v>
      </c>
      <c r="Q6" s="6">
        <v>70.8</v>
      </c>
      <c r="R6" s="6">
        <v>72.3</v>
      </c>
      <c r="S6" s="6">
        <v>52</v>
      </c>
      <c r="T6" s="6">
        <v>60.4</v>
      </c>
      <c r="U6" s="6">
        <v>0.78</v>
      </c>
      <c r="V6" s="6">
        <v>0</v>
      </c>
      <c r="W6" s="6">
        <v>43.9</v>
      </c>
      <c r="X6" s="6">
        <v>18.7</v>
      </c>
      <c r="Y6" s="6">
        <v>-31.5</v>
      </c>
      <c r="Z6" s="6">
        <v>59</v>
      </c>
      <c r="AA6" s="6">
        <v>24.8</v>
      </c>
      <c r="AB6" s="6">
        <v>-81.400000000000006</v>
      </c>
      <c r="AC6" s="6">
        <v>54</v>
      </c>
      <c r="AD6" s="6">
        <v>32.4</v>
      </c>
      <c r="AE6" s="6">
        <v>-131.9</v>
      </c>
      <c r="AF6" s="7">
        <v>105.8</v>
      </c>
      <c r="AG6" s="6">
        <v>72.3</v>
      </c>
      <c r="AH6" s="6">
        <v>70</v>
      </c>
      <c r="AI6" s="6">
        <v>52.8</v>
      </c>
      <c r="AJ6" s="6">
        <v>46.5</v>
      </c>
      <c r="AK6" s="6">
        <v>61</v>
      </c>
      <c r="AL6" s="6"/>
      <c r="AM6" s="6">
        <v>0</v>
      </c>
      <c r="AN6" s="6">
        <v>45.9</v>
      </c>
      <c r="AO6" s="6">
        <v>11.1</v>
      </c>
      <c r="AP6" s="6">
        <v>-45.2</v>
      </c>
      <c r="AQ6" s="6">
        <v>74.7</v>
      </c>
      <c r="AR6" s="6">
        <v>15.1</v>
      </c>
      <c r="AS6" s="6">
        <v>-85.7</v>
      </c>
      <c r="AT6" s="6">
        <v>85.2</v>
      </c>
      <c r="AU6" s="6">
        <v>17.899999999999999</v>
      </c>
      <c r="AV6" s="6">
        <v>-130.08000000000001</v>
      </c>
      <c r="AW6" s="7">
        <v>46.6</v>
      </c>
      <c r="AX6" s="6">
        <v>76.400000000000006</v>
      </c>
      <c r="AY6" s="6">
        <v>56.4</v>
      </c>
      <c r="AZ6" s="6">
        <v>41.2</v>
      </c>
      <c r="BA6" s="6">
        <v>51.3</v>
      </c>
      <c r="BB6" s="6">
        <v>55</v>
      </c>
      <c r="BC6" s="6"/>
      <c r="BD6" s="6">
        <v>0</v>
      </c>
      <c r="BE6" s="8">
        <v>42.7</v>
      </c>
      <c r="BF6" s="6">
        <v>11</v>
      </c>
      <c r="BG6" s="6">
        <v>-33.799999999999997</v>
      </c>
      <c r="BH6" s="6">
        <v>74.900000000000006</v>
      </c>
      <c r="BI6" s="6">
        <v>24.5</v>
      </c>
      <c r="BJ6" s="6">
        <v>-78.8</v>
      </c>
      <c r="BK6" s="6">
        <v>86.3</v>
      </c>
      <c r="BL6" s="6">
        <v>37.299999999999997</v>
      </c>
      <c r="BM6" s="6">
        <v>-115.9</v>
      </c>
      <c r="BN6" s="7">
        <v>51.2</v>
      </c>
      <c r="BO6" s="6">
        <v>68.3</v>
      </c>
      <c r="BP6" s="6">
        <v>52.4</v>
      </c>
      <c r="BQ6" s="6">
        <v>53.8</v>
      </c>
      <c r="BR6" s="6">
        <v>64.3</v>
      </c>
      <c r="BS6" s="6">
        <v>48.7</v>
      </c>
      <c r="BT6" s="6"/>
      <c r="BU6" s="6">
        <v>0</v>
      </c>
      <c r="BV6" s="6">
        <f>W6-F6</f>
        <v>1.1999999999999957</v>
      </c>
      <c r="BW6" s="9">
        <f>((W6-F6)/F6)</f>
        <v>2.8103044496487019E-2</v>
      </c>
      <c r="BX6" s="6">
        <f>SUM(X6)- G6</f>
        <v>5.8999999999999986</v>
      </c>
      <c r="BY6" s="9">
        <f>((X6-G6)/G6)</f>
        <v>0.46093749999999989</v>
      </c>
      <c r="BZ6" s="6">
        <f>Y6-(H6)</f>
        <v>20.399999999999999</v>
      </c>
      <c r="CA6" s="9">
        <f>-((Y6-H6)/H6)</f>
        <v>0.39306358381502887</v>
      </c>
      <c r="CB6" s="6">
        <f>Z6-I6</f>
        <v>-7.7999999999999972</v>
      </c>
      <c r="CC6" s="9">
        <f>((Z6-I6)/I6)</f>
        <v>-0.11676646706586823</v>
      </c>
      <c r="CD6" s="6">
        <f>AA6-J6</f>
        <v>-1.6999999999999993</v>
      </c>
      <c r="CE6" s="9">
        <f>((AA6-J6)/J6)</f>
        <v>-6.4150943396226387E-2</v>
      </c>
      <c r="CF6" s="6">
        <f>AB6-(K6)</f>
        <v>22</v>
      </c>
      <c r="CG6" s="9">
        <f>-((AB6-K6)/K6)</f>
        <v>0.21276595744680851</v>
      </c>
      <c r="CH6" s="6">
        <f>AC6-L6</f>
        <v>-11.5</v>
      </c>
      <c r="CI6" s="9">
        <f>((AC6-L6)/L6)</f>
        <v>-0.17557251908396945</v>
      </c>
      <c r="CJ6" s="6">
        <f>AD6-M6</f>
        <v>-0.30000000000000426</v>
      </c>
      <c r="CK6" s="9">
        <f>((AD6-M6)/M6)</f>
        <v>-9.1743119266056335E-3</v>
      </c>
      <c r="CL6" s="6">
        <f>AE6-(N6)</f>
        <v>17.599999999999994</v>
      </c>
      <c r="CM6" s="9">
        <f>-((AE6-N6)/N6)</f>
        <v>0.11772575250836116</v>
      </c>
      <c r="CN6" s="6">
        <f>AF6-O6</f>
        <v>16.799999999999997</v>
      </c>
      <c r="CO6" s="9">
        <f>((AF6-O6)/O6)</f>
        <v>0.18876404494382018</v>
      </c>
      <c r="CP6" s="6">
        <f>AG6-P6</f>
        <v>-0.29999999999999716</v>
      </c>
      <c r="CQ6" s="9">
        <f>((AG6-P6)/P6)</f>
        <v>-4.1322314049586388E-3</v>
      </c>
      <c r="CR6" s="6">
        <f>AH6-Q6</f>
        <v>-0.79999999999999716</v>
      </c>
      <c r="CS6" s="9">
        <f>((AH6-Q6)/Q6)</f>
        <v>-1.1299435028248548E-2</v>
      </c>
      <c r="CT6" s="6">
        <f>AI6-R6</f>
        <v>-19.5</v>
      </c>
      <c r="CU6" s="9">
        <f>((AI6-R6)/R6)</f>
        <v>-0.26970954356846472</v>
      </c>
      <c r="CV6" s="6">
        <f>AJ6-S6</f>
        <v>-5.5</v>
      </c>
      <c r="CW6" s="9">
        <f>((AJ6-S6)/S6)</f>
        <v>-0.10576923076923077</v>
      </c>
      <c r="CX6" s="6">
        <f>AK6-T6</f>
        <v>0.60000000000000142</v>
      </c>
      <c r="CY6" s="9">
        <f>((AK6-T6)/T6)</f>
        <v>9.9337748344371091E-3</v>
      </c>
      <c r="CZ6" s="6"/>
      <c r="DA6" s="9"/>
      <c r="DB6" s="6">
        <f>SUM(BE6)- AN6</f>
        <v>-3.1999999999999957</v>
      </c>
      <c r="DC6" s="9">
        <f>((BE6-AN6)/AN6)</f>
        <v>-6.971677559912845E-2</v>
      </c>
      <c r="DD6" s="6">
        <f>BF6-(AO6)</f>
        <v>-9.9999999999999645E-2</v>
      </c>
      <c r="DE6" s="9">
        <f>((BF6-AO6)/AO6)</f>
        <v>-9.0090090090089777E-3</v>
      </c>
      <c r="DF6" s="6">
        <f>BG6-(AP6)</f>
        <v>11.400000000000006</v>
      </c>
      <c r="DG6" s="9">
        <f>-((BG6-AP6)/AP6)</f>
        <v>0.25221238938053109</v>
      </c>
      <c r="DH6" s="6">
        <f>BH6-AQ6</f>
        <v>0.20000000000000284</v>
      </c>
      <c r="DI6" s="9">
        <f>((BH6-AQ6)/AQ6)</f>
        <v>2.677376171352113E-3</v>
      </c>
      <c r="DJ6" s="6">
        <f>BI6-(AR6)</f>
        <v>9.4</v>
      </c>
      <c r="DK6" s="9">
        <f>((BI6-AR6)/AR6)</f>
        <v>0.6225165562913908</v>
      </c>
      <c r="DL6" s="6">
        <f>BJ6-(AS6)</f>
        <v>6.9000000000000057</v>
      </c>
      <c r="DM6" s="9">
        <f>-((BJ6-(AS6))/AS6)</f>
        <v>8.0513418903150585E-2</v>
      </c>
      <c r="DN6" s="6">
        <f>BK6-AT6</f>
        <v>1.0999999999999943</v>
      </c>
      <c r="DO6" s="9">
        <f>((BK6-AT6)/AT6)</f>
        <v>1.2910798122065661E-2</v>
      </c>
      <c r="DP6" s="6">
        <f>BL6-AU6</f>
        <v>19.399999999999999</v>
      </c>
      <c r="DQ6" s="9">
        <f>((BL6-AU6)/AU6)</f>
        <v>1.0837988826815643</v>
      </c>
      <c r="DR6" s="6">
        <f>BM6-(AV6)</f>
        <v>14.180000000000007</v>
      </c>
      <c r="DS6" s="9">
        <f>-((BM6-(AV6))/AV6)</f>
        <v>0.10900984009840102</v>
      </c>
      <c r="DT6" s="6">
        <f>BN6-AW6</f>
        <v>4.6000000000000014</v>
      </c>
      <c r="DU6" s="9">
        <f>((BN6-AW6)/AW6)</f>
        <v>9.8712446351931354E-2</v>
      </c>
      <c r="DV6" s="6">
        <f>BO6-AX6</f>
        <v>-8.1000000000000085</v>
      </c>
      <c r="DW6" s="9">
        <f>((BO6-AX6)/AX6)</f>
        <v>-0.10602094240837706</v>
      </c>
      <c r="DX6" s="6">
        <f>BP6-AY6</f>
        <v>-4</v>
      </c>
      <c r="DY6" s="9">
        <f>((BP6-AY6)/AY6)</f>
        <v>-7.0921985815602842E-2</v>
      </c>
      <c r="DZ6" s="6">
        <f>BQ6-AZ6</f>
        <v>12.599999999999994</v>
      </c>
      <c r="EA6" s="9">
        <f>((BQ6-AZ6)/AZ6)</f>
        <v>0.30582524271844647</v>
      </c>
      <c r="EB6" s="6">
        <f>BR6-BA6</f>
        <v>13</v>
      </c>
      <c r="EC6" s="9">
        <f>((BR6-(BA6))/BA6)</f>
        <v>0.25341130604288503</v>
      </c>
      <c r="ED6" s="6">
        <f>BS6-BB6</f>
        <v>-6.2999999999999972</v>
      </c>
      <c r="EE6" s="9">
        <f>((BS6-(BB6))/BB6)</f>
        <v>-0.11454545454545449</v>
      </c>
      <c r="EF6" s="6"/>
      <c r="EG6" s="6"/>
    </row>
    <row r="7" spans="1:137" ht="18.75" x14ac:dyDescent="0.3">
      <c r="A7" s="10">
        <v>2</v>
      </c>
      <c r="B7" s="10" t="s">
        <v>49</v>
      </c>
      <c r="C7" s="10" t="s">
        <v>50</v>
      </c>
      <c r="D7" s="10">
        <v>64</v>
      </c>
      <c r="E7" s="6" t="s">
        <v>35</v>
      </c>
      <c r="F7" s="10">
        <v>59.2</v>
      </c>
      <c r="G7" s="10">
        <v>24.5</v>
      </c>
      <c r="H7" s="10">
        <v>-43.1</v>
      </c>
      <c r="I7" s="10">
        <v>77.7</v>
      </c>
      <c r="J7" s="10">
        <v>29</v>
      </c>
      <c r="K7" s="10">
        <v>-102.7</v>
      </c>
      <c r="L7" s="10">
        <v>95.4</v>
      </c>
      <c r="M7" s="10">
        <v>33.1</v>
      </c>
      <c r="N7" s="10">
        <v>-167.3</v>
      </c>
      <c r="O7" s="11">
        <v>58.9</v>
      </c>
      <c r="P7" s="10">
        <v>73.599999999999994</v>
      </c>
      <c r="Q7" s="10">
        <v>68</v>
      </c>
      <c r="R7" s="10">
        <v>73</v>
      </c>
      <c r="S7" s="10">
        <v>73.5</v>
      </c>
      <c r="T7" s="10">
        <v>71.7</v>
      </c>
      <c r="U7" s="10"/>
      <c r="V7" s="10">
        <v>1</v>
      </c>
      <c r="W7" s="10">
        <v>58.2</v>
      </c>
      <c r="X7" s="10">
        <v>18.5</v>
      </c>
      <c r="Y7" s="10">
        <v>-36.4</v>
      </c>
      <c r="Z7" s="10">
        <v>83.1</v>
      </c>
      <c r="AA7" s="10">
        <v>14.4</v>
      </c>
      <c r="AB7" s="10">
        <v>-95.8</v>
      </c>
      <c r="AC7" s="10">
        <v>93.4</v>
      </c>
      <c r="AD7" s="10">
        <v>13.6</v>
      </c>
      <c r="AE7" s="10">
        <v>-160.4</v>
      </c>
      <c r="AF7" s="11">
        <v>48.5</v>
      </c>
      <c r="AG7" s="10">
        <v>70.5</v>
      </c>
      <c r="AH7" s="10">
        <v>68.8</v>
      </c>
      <c r="AI7" s="10">
        <v>67.8</v>
      </c>
      <c r="AJ7" s="10">
        <v>60.1</v>
      </c>
      <c r="AK7" s="10">
        <v>41.9</v>
      </c>
      <c r="AL7" s="10"/>
      <c r="AM7" s="10">
        <v>1</v>
      </c>
      <c r="AN7" s="10">
        <v>61.7</v>
      </c>
      <c r="AO7" s="10">
        <v>23</v>
      </c>
      <c r="AP7" s="10">
        <v>-24.7</v>
      </c>
      <c r="AQ7" s="10">
        <v>83</v>
      </c>
      <c r="AR7" s="10">
        <v>31.1</v>
      </c>
      <c r="AS7" s="10">
        <v>-77.400000000000006</v>
      </c>
      <c r="AT7" s="10">
        <v>83.5</v>
      </c>
      <c r="AU7" s="10">
        <v>36.4</v>
      </c>
      <c r="AV7" s="10">
        <v>-134.4</v>
      </c>
      <c r="AW7" s="10">
        <v>42.6</v>
      </c>
      <c r="AX7" s="10">
        <v>66.8</v>
      </c>
      <c r="AY7" s="10">
        <v>66.900000000000006</v>
      </c>
      <c r="AZ7" s="10">
        <v>30.2</v>
      </c>
      <c r="BA7" s="10">
        <v>63</v>
      </c>
      <c r="BB7" s="10">
        <v>90.2</v>
      </c>
      <c r="BC7" s="10"/>
      <c r="BD7" s="10">
        <v>1</v>
      </c>
      <c r="BE7" s="10">
        <v>56.8</v>
      </c>
      <c r="BF7" s="10">
        <v>31</v>
      </c>
      <c r="BG7" s="10">
        <v>-37.4</v>
      </c>
      <c r="BH7" s="10">
        <v>73.8</v>
      </c>
      <c r="BI7" s="10">
        <v>37.9</v>
      </c>
      <c r="BJ7" s="10">
        <v>-80</v>
      </c>
      <c r="BK7" s="10">
        <v>72.8</v>
      </c>
      <c r="BL7" s="10">
        <v>38.5</v>
      </c>
      <c r="BM7" s="10">
        <v>-137.4</v>
      </c>
      <c r="BN7" s="10">
        <v>81.3</v>
      </c>
      <c r="BO7" s="10">
        <v>66</v>
      </c>
      <c r="BP7" s="10">
        <v>66.5</v>
      </c>
      <c r="BQ7" s="10">
        <v>48.1</v>
      </c>
      <c r="BR7" s="10">
        <v>86</v>
      </c>
      <c r="BS7" s="10">
        <v>132.4</v>
      </c>
      <c r="BT7" s="10"/>
      <c r="BU7" s="10">
        <v>1</v>
      </c>
      <c r="BV7" s="6">
        <f>W7-F7</f>
        <v>-1</v>
      </c>
      <c r="BW7" s="9">
        <f>((W7-F7)/F7)</f>
        <v>-1.6891891891891889E-2</v>
      </c>
      <c r="BX7" s="6">
        <f>SUM(X7)- G7</f>
        <v>-6</v>
      </c>
      <c r="BY7" s="9">
        <f>((X7-G7)/G7)</f>
        <v>-0.24489795918367346</v>
      </c>
      <c r="BZ7" s="6">
        <f>Y7-(H7)</f>
        <v>6.7000000000000028</v>
      </c>
      <c r="CA7" s="9">
        <f>-((Y7-H7)/H7)</f>
        <v>0.15545243619489565</v>
      </c>
      <c r="CB7" s="6">
        <f>Z7-I7</f>
        <v>5.3999999999999915</v>
      </c>
      <c r="CC7" s="9">
        <f>((Z7-I7)/I7)</f>
        <v>6.9498069498069387E-2</v>
      </c>
      <c r="CD7" s="6">
        <f>AA7-J7</f>
        <v>-14.6</v>
      </c>
      <c r="CE7" s="9">
        <f>((AA7-J7)/J7)</f>
        <v>-0.50344827586206897</v>
      </c>
      <c r="CF7" s="6">
        <f>AB7-(K7)</f>
        <v>6.9000000000000057</v>
      </c>
      <c r="CG7" s="9">
        <f>-((AB7-K7)/K7)</f>
        <v>6.7185978578383695E-2</v>
      </c>
      <c r="CH7" s="6">
        <f>AC7-L7</f>
        <v>-2</v>
      </c>
      <c r="CI7" s="9">
        <f>((AC7-L7)/L7)</f>
        <v>-2.0964360587002094E-2</v>
      </c>
      <c r="CJ7" s="6">
        <f>AD7-M7</f>
        <v>-19.5</v>
      </c>
      <c r="CK7" s="9">
        <f>((AD7-M7)/M7)</f>
        <v>-0.58912386706948638</v>
      </c>
      <c r="CL7" s="6">
        <f>AE7-(N7)</f>
        <v>6.9000000000000057</v>
      </c>
      <c r="CM7" s="9">
        <f>-((AE7-N7)/N7)</f>
        <v>4.1243275552899014E-2</v>
      </c>
      <c r="CN7" s="6">
        <f>AF7-O7</f>
        <v>-10.399999999999999</v>
      </c>
      <c r="CO7" s="9">
        <f>((AF7-O7)/O7)</f>
        <v>-0.17657045840407468</v>
      </c>
      <c r="CP7" s="6">
        <f>AG7-P7</f>
        <v>-3.0999999999999943</v>
      </c>
      <c r="CQ7" s="9">
        <f>((AG7-P7)/P7)</f>
        <v>-4.2119565217391228E-2</v>
      </c>
      <c r="CR7" s="6">
        <f>AH7-Q7</f>
        <v>0.79999999999999716</v>
      </c>
      <c r="CS7" s="9">
        <f>((AH7-Q7)/Q7)</f>
        <v>1.1764705882352899E-2</v>
      </c>
      <c r="CT7" s="6">
        <f>AI7-R7</f>
        <v>-5.2000000000000028</v>
      </c>
      <c r="CU7" s="9">
        <f>((AI7-R7)/R7)</f>
        <v>-7.1232876712328808E-2</v>
      </c>
      <c r="CV7" s="6">
        <f>AJ7-S7</f>
        <v>-13.399999999999999</v>
      </c>
      <c r="CW7" s="9">
        <f>((AJ7-S7)/S7)</f>
        <v>-0.182312925170068</v>
      </c>
      <c r="CX7" s="6">
        <f>AK7-T7</f>
        <v>-29.800000000000004</v>
      </c>
      <c r="CY7" s="9">
        <f>((AK7-T7)/T7)</f>
        <v>-0.41562064156206419</v>
      </c>
      <c r="CZ7" s="6"/>
      <c r="DA7" s="9"/>
      <c r="DB7" s="6">
        <f>SUM(BE7)- AN7</f>
        <v>-4.9000000000000057</v>
      </c>
      <c r="DC7" s="9">
        <f>((BE7-AN7)/AN7)</f>
        <v>-7.9416531604538182E-2</v>
      </c>
      <c r="DD7" s="6">
        <f>BF7-(AO7)</f>
        <v>8</v>
      </c>
      <c r="DE7" s="9">
        <f>((BF7-AO7)/AO7)</f>
        <v>0.34782608695652173</v>
      </c>
      <c r="DF7" s="6">
        <f>BG7-(AP7)</f>
        <v>-12.7</v>
      </c>
      <c r="DG7" s="9">
        <f>-((BG7-AP7)/AP7)</f>
        <v>-0.51417004048582993</v>
      </c>
      <c r="DH7" s="6">
        <f>BH7-AQ7</f>
        <v>-9.2000000000000028</v>
      </c>
      <c r="DI7" s="9">
        <f>((BH7-AQ7)/AQ7)</f>
        <v>-0.11084337349397594</v>
      </c>
      <c r="DJ7" s="6">
        <f>BI7-(AR7)</f>
        <v>6.7999999999999972</v>
      </c>
      <c r="DK7" s="9">
        <f>((BI7-AR7)/AR7)</f>
        <v>0.21864951768488736</v>
      </c>
      <c r="DL7" s="6">
        <f>BJ7-(AS7)</f>
        <v>-2.5999999999999943</v>
      </c>
      <c r="DM7" s="9">
        <f>-((BJ7-(AS7))/AS7)</f>
        <v>-3.3591731266149796E-2</v>
      </c>
      <c r="DN7" s="6">
        <f>BK7-AT7</f>
        <v>-10.700000000000003</v>
      </c>
      <c r="DO7" s="9">
        <f>((BK7-AT7)/AT7)</f>
        <v>-0.12814371257485033</v>
      </c>
      <c r="DP7" s="6">
        <f>BL7-AU7</f>
        <v>2.1000000000000014</v>
      </c>
      <c r="DQ7" s="9">
        <f>((BL7-AU7)/AU7)</f>
        <v>5.769230769230773E-2</v>
      </c>
      <c r="DR7" s="6">
        <f>BM7-(AV7)</f>
        <v>-3</v>
      </c>
      <c r="DS7" s="9">
        <f>-((BM7-(AV7))/AV7)</f>
        <v>-2.2321428571428572E-2</v>
      </c>
      <c r="DT7" s="6">
        <f>BN7-AW7</f>
        <v>38.699999999999996</v>
      </c>
      <c r="DU7" s="9">
        <f>((BN7-AW7)/AW7)</f>
        <v>0.90845070422535201</v>
      </c>
      <c r="DV7" s="6">
        <f>BO7-AX7</f>
        <v>-0.79999999999999716</v>
      </c>
      <c r="DW7" s="9">
        <f>((BO7-AX7)/AX7)</f>
        <v>-1.1976047904191574E-2</v>
      </c>
      <c r="DX7" s="6">
        <f>BP7-AY7</f>
        <v>-0.40000000000000568</v>
      </c>
      <c r="DY7" s="9">
        <f>((BP7-AY7)/AY7)</f>
        <v>-5.979073243647319E-3</v>
      </c>
      <c r="DZ7" s="6">
        <f>BQ7-AZ7</f>
        <v>17.900000000000002</v>
      </c>
      <c r="EA7" s="9">
        <f>((BQ7-AZ7)/AZ7)</f>
        <v>0.5927152317880795</v>
      </c>
      <c r="EB7" s="6">
        <f>BR7-BA7</f>
        <v>23</v>
      </c>
      <c r="EC7" s="9">
        <f>((BR7-(BA7))/BA7)</f>
        <v>0.36507936507936506</v>
      </c>
      <c r="ED7" s="6">
        <f>BS7-BB7</f>
        <v>42.2</v>
      </c>
      <c r="EE7" s="9">
        <f>((BS7-(BB7))/BB7)</f>
        <v>0.46784922394678496</v>
      </c>
    </row>
    <row r="8" spans="1:137" ht="18.75" x14ac:dyDescent="0.3">
      <c r="A8" s="10">
        <v>3</v>
      </c>
      <c r="B8" s="10" t="s">
        <v>51</v>
      </c>
      <c r="C8" s="6" t="s">
        <v>34</v>
      </c>
      <c r="D8" s="10">
        <v>62</v>
      </c>
      <c r="E8" s="6" t="s">
        <v>35</v>
      </c>
      <c r="F8" s="10">
        <v>63.4</v>
      </c>
      <c r="G8" s="10">
        <v>23</v>
      </c>
      <c r="H8" s="10">
        <v>-20</v>
      </c>
      <c r="I8" s="10">
        <v>81.599999999999994</v>
      </c>
      <c r="J8" s="10">
        <v>41.3</v>
      </c>
      <c r="K8" s="10">
        <v>-101.7</v>
      </c>
      <c r="L8" s="10">
        <v>81.099999999999994</v>
      </c>
      <c r="M8" s="10">
        <v>53.8</v>
      </c>
      <c r="N8" s="10">
        <v>-124</v>
      </c>
      <c r="O8" s="10">
        <v>63.1</v>
      </c>
      <c r="P8" s="10">
        <v>61.4</v>
      </c>
      <c r="Q8" s="10">
        <v>66</v>
      </c>
      <c r="R8" s="10">
        <v>68.5</v>
      </c>
      <c r="S8" s="10">
        <v>57.4</v>
      </c>
      <c r="T8" s="10">
        <v>112.1</v>
      </c>
      <c r="U8" s="10"/>
      <c r="V8" s="10">
        <v>4</v>
      </c>
      <c r="W8" s="10">
        <v>57.7</v>
      </c>
      <c r="X8" s="10">
        <v>42.1</v>
      </c>
      <c r="Y8" s="10">
        <v>-26</v>
      </c>
      <c r="Z8" s="10">
        <v>60.8</v>
      </c>
      <c r="AA8" s="10">
        <v>62.9</v>
      </c>
      <c r="AB8" s="10">
        <v>-78.599999999999994</v>
      </c>
      <c r="AC8" s="10">
        <v>53.8</v>
      </c>
      <c r="AD8" s="10">
        <v>7.49</v>
      </c>
      <c r="AE8" s="10">
        <v>-126.7</v>
      </c>
      <c r="AF8" s="10">
        <v>81.7</v>
      </c>
      <c r="AG8" s="10">
        <v>66.599999999999994</v>
      </c>
      <c r="AH8" s="10">
        <v>87.9</v>
      </c>
      <c r="AI8" s="10">
        <v>50.04</v>
      </c>
      <c r="AJ8" s="10">
        <v>45.7</v>
      </c>
      <c r="AK8" s="10">
        <v>122.5</v>
      </c>
      <c r="AL8" s="10"/>
      <c r="AM8" s="10">
        <v>4</v>
      </c>
      <c r="AN8" s="10">
        <v>70.400000000000006</v>
      </c>
      <c r="AO8" s="10">
        <v>36.9</v>
      </c>
      <c r="AP8" s="10">
        <v>-4.4000000000000004</v>
      </c>
      <c r="AQ8" s="10">
        <v>74.400000000000006</v>
      </c>
      <c r="AR8" s="10">
        <v>45.2</v>
      </c>
      <c r="AS8" s="10">
        <v>-60</v>
      </c>
      <c r="AT8" s="10">
        <v>79.099999999999994</v>
      </c>
      <c r="AU8" s="10">
        <v>31.5</v>
      </c>
      <c r="AV8" s="10">
        <v>-108.7</v>
      </c>
      <c r="AW8" s="10">
        <v>57.7</v>
      </c>
      <c r="AX8" s="10">
        <v>90</v>
      </c>
      <c r="AY8" s="10">
        <v>85.6</v>
      </c>
      <c r="AZ8" s="10">
        <v>50.3</v>
      </c>
      <c r="BA8" s="10">
        <v>60</v>
      </c>
      <c r="BB8" s="10">
        <v>83</v>
      </c>
      <c r="BC8" s="10"/>
      <c r="BD8" s="10">
        <v>4</v>
      </c>
      <c r="BE8" s="10">
        <v>67.099999999999994</v>
      </c>
      <c r="BF8" s="10">
        <v>44.2</v>
      </c>
      <c r="BG8" s="10">
        <v>-19.100000000000001</v>
      </c>
      <c r="BH8" s="10">
        <v>70.599999999999994</v>
      </c>
      <c r="BI8" s="10">
        <v>47</v>
      </c>
      <c r="BJ8" s="10">
        <v>-77.3</v>
      </c>
      <c r="BK8" s="10">
        <v>69.8</v>
      </c>
      <c r="BL8" s="10">
        <v>40.6</v>
      </c>
      <c r="BM8" s="10">
        <v>-131.80000000000001</v>
      </c>
      <c r="BN8" s="10">
        <v>51</v>
      </c>
      <c r="BO8" s="10">
        <v>84.5</v>
      </c>
      <c r="BP8" s="10">
        <v>98.1</v>
      </c>
      <c r="BQ8" s="10">
        <v>53</v>
      </c>
      <c r="BR8" s="10">
        <v>56.1</v>
      </c>
      <c r="BS8" s="10">
        <v>96.2</v>
      </c>
      <c r="BT8" s="10"/>
      <c r="BU8" s="10">
        <v>4</v>
      </c>
      <c r="BV8" s="6">
        <f>W8-F8</f>
        <v>-5.6999999999999957</v>
      </c>
      <c r="BW8" s="9">
        <f>((W8-F8)/F8)</f>
        <v>-8.9905362776025177E-2</v>
      </c>
      <c r="BX8" s="6">
        <f>SUM(X8)- G8</f>
        <v>19.100000000000001</v>
      </c>
      <c r="BY8" s="9">
        <f>((X8-G8)/G8)</f>
        <v>0.83043478260869574</v>
      </c>
      <c r="BZ8" s="6">
        <f>Y8-(H8)</f>
        <v>-6</v>
      </c>
      <c r="CA8" s="9">
        <f>-((Y8-H8)/H8)</f>
        <v>-0.3</v>
      </c>
      <c r="CB8" s="6">
        <f>Z8-I8</f>
        <v>-20.799999999999997</v>
      </c>
      <c r="CC8" s="9">
        <f>((Z8-I8)/I8)</f>
        <v>-0.25490196078431371</v>
      </c>
      <c r="CD8" s="6">
        <f>AA8-J8</f>
        <v>21.6</v>
      </c>
      <c r="CE8" s="9">
        <f>((AA8-J8)/J8)</f>
        <v>0.52300242130750607</v>
      </c>
      <c r="CF8" s="6">
        <f>AB8-(K8)</f>
        <v>23.100000000000009</v>
      </c>
      <c r="CG8" s="9">
        <f>-((AB8-K8)/K8)</f>
        <v>0.22713864306784667</v>
      </c>
      <c r="CH8" s="6">
        <f>AC8-L8</f>
        <v>-27.299999999999997</v>
      </c>
      <c r="CI8" s="9">
        <f>((AC8-L8)/L8)</f>
        <v>-0.33662145499383478</v>
      </c>
      <c r="CJ8" s="6">
        <f>AD8-M8</f>
        <v>-46.309999999999995</v>
      </c>
      <c r="CK8" s="9">
        <f>((AD8-M8)/M8)</f>
        <v>-0.86078066914498141</v>
      </c>
      <c r="CL8" s="6">
        <f>AE8-(N8)</f>
        <v>-2.7000000000000028</v>
      </c>
      <c r="CM8" s="9">
        <f>-((AE8-N8)/N8)</f>
        <v>-2.1774193548387121E-2</v>
      </c>
      <c r="CN8" s="6">
        <f>AF8-O8</f>
        <v>18.600000000000001</v>
      </c>
      <c r="CO8" s="9">
        <f>((AF8-O8)/O8)</f>
        <v>0.29477020602218701</v>
      </c>
      <c r="CP8" s="6">
        <f>AG8-P8</f>
        <v>5.1999999999999957</v>
      </c>
      <c r="CQ8" s="9">
        <f>((AG8-P8)/P8)</f>
        <v>8.4690553745928265E-2</v>
      </c>
      <c r="CR8" s="6">
        <f>AH8-Q8</f>
        <v>21.900000000000006</v>
      </c>
      <c r="CS8" s="9">
        <f>((AH8-Q8)/Q8)</f>
        <v>0.3318181818181819</v>
      </c>
      <c r="CT8" s="6">
        <f>AI8-R8</f>
        <v>-18.46</v>
      </c>
      <c r="CU8" s="9">
        <f>((AI8-R8)/R8)</f>
        <v>-0.26948905109489052</v>
      </c>
      <c r="CV8" s="6">
        <f>AJ8-S8</f>
        <v>-11.699999999999996</v>
      </c>
      <c r="CW8" s="9">
        <f>((AJ8-S8)/S8)</f>
        <v>-0.20383275261324035</v>
      </c>
      <c r="CX8" s="6">
        <f>AK8-T8</f>
        <v>10.400000000000006</v>
      </c>
      <c r="CY8" s="9">
        <f>((AK8-T8)/T8)</f>
        <v>9.2774308652988455E-2</v>
      </c>
      <c r="CZ8" s="6"/>
      <c r="DA8" s="9"/>
      <c r="DB8" s="6">
        <f>SUM(BE8)- AN8</f>
        <v>-3.3000000000000114</v>
      </c>
      <c r="DC8" s="9">
        <f>((BE8-AN8)/AN8)</f>
        <v>-4.687500000000016E-2</v>
      </c>
      <c r="DD8" s="6">
        <f>BF8-(AO8)</f>
        <v>7.3000000000000043</v>
      </c>
      <c r="DE8" s="9">
        <f>((BF8-AO8)/AO8)</f>
        <v>0.19783197831978333</v>
      </c>
      <c r="DF8" s="6">
        <f>BG8-(AP8)</f>
        <v>-14.700000000000001</v>
      </c>
      <c r="DG8" s="9">
        <f>-((BG8-AP8)/AP8)</f>
        <v>-3.3409090909090908</v>
      </c>
      <c r="DH8" s="6">
        <f>BH8-AQ8</f>
        <v>-3.8000000000000114</v>
      </c>
      <c r="DI8" s="9">
        <f>((BH8-AQ8)/AQ8)</f>
        <v>-5.107526881720445E-2</v>
      </c>
      <c r="DJ8" s="6">
        <f>BI8-(AR8)</f>
        <v>1.7999999999999972</v>
      </c>
      <c r="DK8" s="9">
        <f>((BI8-AR8)/AR8)</f>
        <v>3.9823008849557459E-2</v>
      </c>
      <c r="DL8" s="6">
        <f>BJ8-(AS8)</f>
        <v>-17.299999999999997</v>
      </c>
      <c r="DM8" s="9">
        <f>-((BJ8-(AS8))/AS8)</f>
        <v>-0.28833333333333327</v>
      </c>
      <c r="DN8" s="6">
        <f>BK8-AT8</f>
        <v>-9.2999999999999972</v>
      </c>
      <c r="DO8" s="9">
        <f>((BK8-AT8)/AT8)</f>
        <v>-0.1175726927939317</v>
      </c>
      <c r="DP8" s="6">
        <f>BL8-AU8</f>
        <v>9.1000000000000014</v>
      </c>
      <c r="DQ8" s="9">
        <f>((BL8-AU8)/AU8)</f>
        <v>0.28888888888888892</v>
      </c>
      <c r="DR8" s="6">
        <f>BM8-(AV8)</f>
        <v>-23.100000000000009</v>
      </c>
      <c r="DS8" s="9">
        <f>-((BM8-(AV8))/AV8)</f>
        <v>-0.21251149954001847</v>
      </c>
      <c r="DT8" s="6">
        <f>BN8-AW8</f>
        <v>-6.7000000000000028</v>
      </c>
      <c r="DU8" s="9">
        <f>((BN8-AW8)/AW8)</f>
        <v>-0.11611785095320629</v>
      </c>
      <c r="DV8" s="6">
        <f>BO8-AX8</f>
        <v>-5.5</v>
      </c>
      <c r="DW8" s="9">
        <f>((BO8-AX8)/AX8)</f>
        <v>-6.1111111111111109E-2</v>
      </c>
      <c r="DX8" s="6">
        <f>BP8-AY8</f>
        <v>12.5</v>
      </c>
      <c r="DY8" s="9">
        <f>((BP8-AY8)/AY8)</f>
        <v>0.14602803738317757</v>
      </c>
      <c r="DZ8" s="6">
        <f>BQ8-AZ8</f>
        <v>2.7000000000000028</v>
      </c>
      <c r="EA8" s="9">
        <f>((BQ8-AZ8)/AZ8)</f>
        <v>5.3677932405566661E-2</v>
      </c>
      <c r="EB8" s="6">
        <f>BR8-BA8</f>
        <v>-3.8999999999999986</v>
      </c>
      <c r="EC8" s="9">
        <f>((BR8-(BA8))/BA8)</f>
        <v>-6.4999999999999974E-2</v>
      </c>
      <c r="ED8" s="6">
        <f>BS8-BB8</f>
        <v>13.200000000000003</v>
      </c>
      <c r="EE8" s="9">
        <f>((BS8-(BB8))/BB8)</f>
        <v>0.15903614457831328</v>
      </c>
    </row>
    <row r="9" spans="1:137" ht="18.75" x14ac:dyDescent="0.3">
      <c r="A9" s="10">
        <v>4</v>
      </c>
      <c r="B9" s="10" t="s">
        <v>52</v>
      </c>
      <c r="C9" s="6" t="s">
        <v>34</v>
      </c>
      <c r="D9" s="10">
        <v>42</v>
      </c>
      <c r="E9" s="6" t="s">
        <v>35</v>
      </c>
      <c r="F9" s="10">
        <v>48.1</v>
      </c>
      <c r="G9" s="10">
        <v>10.1</v>
      </c>
      <c r="H9" s="10">
        <v>-30.1</v>
      </c>
      <c r="I9" s="10">
        <v>61</v>
      </c>
      <c r="J9" s="10">
        <v>21.5</v>
      </c>
      <c r="K9" s="10">
        <v>-81.8</v>
      </c>
      <c r="L9" s="10">
        <v>61.1</v>
      </c>
      <c r="M9" s="10">
        <v>27.8</v>
      </c>
      <c r="N9" s="10">
        <v>-131.9</v>
      </c>
      <c r="O9" s="10">
        <v>74.2</v>
      </c>
      <c r="P9" s="10">
        <v>67.599999999999994</v>
      </c>
      <c r="Q9" s="10">
        <v>71.5</v>
      </c>
      <c r="R9" s="10">
        <v>65.099999999999994</v>
      </c>
      <c r="S9" s="10">
        <v>46.2</v>
      </c>
      <c r="T9" s="10">
        <v>65.900000000000006</v>
      </c>
      <c r="U9" s="10"/>
      <c r="V9" s="10">
        <v>3</v>
      </c>
      <c r="W9" s="10">
        <v>47.6</v>
      </c>
      <c r="X9" s="10">
        <v>10</v>
      </c>
      <c r="Y9" s="10">
        <v>-18.8</v>
      </c>
      <c r="Z9" s="10">
        <v>61.5</v>
      </c>
      <c r="AA9" s="10">
        <v>21.9</v>
      </c>
      <c r="AB9" s="10">
        <v>-70.3</v>
      </c>
      <c r="AC9" s="10">
        <v>54.9</v>
      </c>
      <c r="AD9" s="10">
        <v>37</v>
      </c>
      <c r="AE9" s="10">
        <v>-120.4</v>
      </c>
      <c r="AF9" s="10">
        <v>82.9</v>
      </c>
      <c r="AG9" s="10">
        <v>74.5</v>
      </c>
      <c r="AH9" s="10">
        <v>89.3</v>
      </c>
      <c r="AI9" s="10">
        <v>46.5</v>
      </c>
      <c r="AJ9" s="10">
        <v>31.3</v>
      </c>
      <c r="AK9" s="10">
        <v>64.5</v>
      </c>
      <c r="AL9" s="10"/>
      <c r="AM9" s="10">
        <v>3</v>
      </c>
      <c r="AN9" s="10">
        <v>39.4</v>
      </c>
      <c r="AO9" s="10">
        <v>30.8</v>
      </c>
      <c r="AP9" s="10">
        <v>-1</v>
      </c>
      <c r="AQ9" s="10">
        <v>60.5</v>
      </c>
      <c r="AR9" s="10">
        <v>18.5</v>
      </c>
      <c r="AS9" s="10">
        <v>-55.7</v>
      </c>
      <c r="AT9" s="10">
        <v>58</v>
      </c>
      <c r="AU9" s="10">
        <v>16.8</v>
      </c>
      <c r="AV9" s="10">
        <v>-108.8</v>
      </c>
      <c r="AW9" s="10">
        <v>66.5</v>
      </c>
      <c r="AX9" s="10">
        <v>90.2</v>
      </c>
      <c r="AY9" s="10">
        <v>80.3</v>
      </c>
      <c r="AZ9" s="10">
        <v>31.7</v>
      </c>
      <c r="BA9" s="10">
        <v>48.2</v>
      </c>
      <c r="BB9" s="10">
        <v>70</v>
      </c>
      <c r="BC9" s="10"/>
      <c r="BD9" s="10">
        <v>3</v>
      </c>
      <c r="BE9" s="10">
        <v>42.2</v>
      </c>
      <c r="BF9" s="10">
        <v>22.1</v>
      </c>
      <c r="BG9" s="10">
        <v>-4.68</v>
      </c>
      <c r="BH9" s="10">
        <v>65.900000000000006</v>
      </c>
      <c r="BI9" s="10">
        <v>23.6</v>
      </c>
      <c r="BJ9" s="10">
        <v>-59</v>
      </c>
      <c r="BK9" s="10">
        <v>62.9</v>
      </c>
      <c r="BL9" s="10">
        <v>30.6</v>
      </c>
      <c r="BM9" s="10">
        <v>-110</v>
      </c>
      <c r="BN9" s="10">
        <v>62.5</v>
      </c>
      <c r="BO9" s="10">
        <v>69.599999999999994</v>
      </c>
      <c r="BP9" s="10">
        <v>71</v>
      </c>
      <c r="BQ9" s="10">
        <v>27.8</v>
      </c>
      <c r="BR9" s="10">
        <v>43.8</v>
      </c>
      <c r="BS9" s="10">
        <v>86.1</v>
      </c>
      <c r="BT9" s="10"/>
      <c r="BU9" s="10">
        <v>3</v>
      </c>
      <c r="BV9" s="6">
        <f>W9-F9</f>
        <v>-0.5</v>
      </c>
      <c r="BW9" s="9">
        <f>((W9-F9)/F9)</f>
        <v>-1.0395010395010394E-2</v>
      </c>
      <c r="BX9" s="6">
        <f>SUM(X9)- G9</f>
        <v>-9.9999999999999645E-2</v>
      </c>
      <c r="BY9" s="9">
        <f>((X9-G9)/G9)</f>
        <v>-9.9009900990098664E-3</v>
      </c>
      <c r="BZ9" s="6">
        <f>Y9-(H9)</f>
        <v>11.3</v>
      </c>
      <c r="CA9" s="9">
        <f>-((Y9-H9)/H9)</f>
        <v>0.37541528239202659</v>
      </c>
      <c r="CB9" s="6">
        <f>Z9-I9</f>
        <v>0.5</v>
      </c>
      <c r="CC9" s="9">
        <f>((Z9-I9)/I9)</f>
        <v>8.1967213114754103E-3</v>
      </c>
      <c r="CD9" s="6">
        <f>AA9-J9</f>
        <v>0.39999999999999858</v>
      </c>
      <c r="CE9" s="9">
        <f>((AA9-J9)/J9)</f>
        <v>1.8604651162790631E-2</v>
      </c>
      <c r="CF9" s="6">
        <f>AB9-(K9)</f>
        <v>11.5</v>
      </c>
      <c r="CG9" s="9">
        <f>-((AB9-K9)/K9)</f>
        <v>0.14058679706601468</v>
      </c>
      <c r="CH9" s="6">
        <f>AC9-L9</f>
        <v>-6.2000000000000028</v>
      </c>
      <c r="CI9" s="9">
        <f>((AC9-L9)/L9)</f>
        <v>-0.10147299509001641</v>
      </c>
      <c r="CJ9" s="6">
        <f>AD9-M9</f>
        <v>9.1999999999999993</v>
      </c>
      <c r="CK9" s="9">
        <f>((AD9-M9)/M9)</f>
        <v>0.33093525179856109</v>
      </c>
      <c r="CL9" s="6">
        <f>AE9-(N9)</f>
        <v>11.5</v>
      </c>
      <c r="CM9" s="9">
        <f>-((AE9-N9)/N9)</f>
        <v>8.7187263078089453E-2</v>
      </c>
      <c r="CN9" s="6">
        <f>AF9-O9</f>
        <v>8.7000000000000028</v>
      </c>
      <c r="CO9" s="9">
        <f>((AF9-O9)/O9)</f>
        <v>0.11725067385444747</v>
      </c>
      <c r="CP9" s="6">
        <f>AG9-P9</f>
        <v>6.9000000000000057</v>
      </c>
      <c r="CQ9" s="9">
        <f>((AG9-P9)/P9)</f>
        <v>0.10207100591715985</v>
      </c>
      <c r="CR9" s="6">
        <f>AH9-Q9</f>
        <v>17.799999999999997</v>
      </c>
      <c r="CS9" s="9">
        <f>((AH9-Q9)/Q9)</f>
        <v>0.24895104895104891</v>
      </c>
      <c r="CT9" s="6">
        <f>AI9-R9</f>
        <v>-18.599999999999994</v>
      </c>
      <c r="CU9" s="9">
        <f>((AI9-R9)/R9)</f>
        <v>-0.28571428571428564</v>
      </c>
      <c r="CV9" s="6">
        <f>AJ9-S9</f>
        <v>-14.900000000000002</v>
      </c>
      <c r="CW9" s="9">
        <f>((AJ9-S9)/S9)</f>
        <v>-0.32251082251082253</v>
      </c>
      <c r="CX9" s="6">
        <f>AK9-T9</f>
        <v>-1.4000000000000057</v>
      </c>
      <c r="CY9" s="9">
        <f>((AK9-T9)/T9)</f>
        <v>-2.1244309559939386E-2</v>
      </c>
      <c r="CZ9" s="10"/>
      <c r="DA9" s="10"/>
      <c r="DB9" s="6">
        <f>SUM(BE9)- AN9</f>
        <v>2.8000000000000043</v>
      </c>
      <c r="DC9" s="9">
        <f>((BE9-AN9)/AN9)</f>
        <v>7.1065989847715852E-2</v>
      </c>
      <c r="DD9" s="6">
        <f>BF9-(AO9)</f>
        <v>-8.6999999999999993</v>
      </c>
      <c r="DE9" s="9">
        <f>((BF9-AO9)/AO9)</f>
        <v>-0.28246753246753242</v>
      </c>
      <c r="DF9" s="6">
        <f>BG9-(AP9)</f>
        <v>-3.6799999999999997</v>
      </c>
      <c r="DG9" s="9">
        <f>-((BG9-AP9)/AP9)</f>
        <v>-3.6799999999999997</v>
      </c>
      <c r="DH9" s="6">
        <f>BH9-AQ9</f>
        <v>5.4000000000000057</v>
      </c>
      <c r="DI9" s="9">
        <f>((BH9-AQ9)/AQ9)</f>
        <v>8.9256198347107532E-2</v>
      </c>
      <c r="DJ9" s="6">
        <f>BI9-(AR9)</f>
        <v>5.1000000000000014</v>
      </c>
      <c r="DK9" s="9">
        <f>((BI9-AR9)/AR9)</f>
        <v>0.27567567567567575</v>
      </c>
      <c r="DL9" s="6">
        <f>BJ9-(AS9)</f>
        <v>-3.2999999999999972</v>
      </c>
      <c r="DM9" s="9">
        <f>-((BJ9-(AS9))/AS9)</f>
        <v>-5.9245960502692943E-2</v>
      </c>
      <c r="DN9" s="6">
        <f>BK9-AT9</f>
        <v>4.8999999999999986</v>
      </c>
      <c r="DO9" s="9">
        <f>((BK9-AT9)/AT9)</f>
        <v>8.448275862068963E-2</v>
      </c>
      <c r="DP9" s="6">
        <f>BL9-AU9</f>
        <v>13.8</v>
      </c>
      <c r="DQ9" s="9">
        <f>((BL9-AU9)/AU9)</f>
        <v>0.8214285714285714</v>
      </c>
      <c r="DR9" s="6">
        <f>BM9-(AV9)</f>
        <v>-1.2000000000000028</v>
      </c>
      <c r="DS9" s="9">
        <f>-((BM9-(AV9))/AV9)</f>
        <v>-1.1029411764705909E-2</v>
      </c>
      <c r="DT9" s="6">
        <f>BN9-AW9</f>
        <v>-4</v>
      </c>
      <c r="DU9" s="9">
        <f>((BN9-AW9)/AW9)</f>
        <v>-6.0150375939849621E-2</v>
      </c>
      <c r="DV9" s="6">
        <f>BO9-AX9</f>
        <v>-20.600000000000009</v>
      </c>
      <c r="DW9" s="9">
        <f>((BO9-AX9)/AX9)</f>
        <v>-0.22838137472283823</v>
      </c>
      <c r="DX9" s="6">
        <f>BP9-AY9</f>
        <v>-9.2999999999999972</v>
      </c>
      <c r="DY9" s="9">
        <f>((BP9-AY9)/AY9)</f>
        <v>-0.11581569115815687</v>
      </c>
      <c r="DZ9" s="6">
        <f>BQ9-AZ9</f>
        <v>-3.8999999999999986</v>
      </c>
      <c r="EA9" s="9">
        <f>((BQ9-AZ9)/AZ9)</f>
        <v>-0.12302839116719239</v>
      </c>
      <c r="EB9" s="6">
        <f>BR9-BA9</f>
        <v>-4.4000000000000057</v>
      </c>
      <c r="EC9" s="9">
        <f>((BR9-(BA9))/BA9)</f>
        <v>-9.1286307053942015E-2</v>
      </c>
      <c r="ED9" s="6">
        <f>BS9-BB9</f>
        <v>16.099999999999994</v>
      </c>
      <c r="EE9" s="9">
        <f>((BS9-(BB9))/BB9)</f>
        <v>0.22999999999999993</v>
      </c>
      <c r="EF9" s="10"/>
      <c r="EG9" s="10"/>
    </row>
    <row r="10" spans="1:137" ht="18.75" x14ac:dyDescent="0.3">
      <c r="A10" s="10">
        <v>5</v>
      </c>
      <c r="B10" s="10" t="s">
        <v>53</v>
      </c>
      <c r="C10" s="6" t="s">
        <v>34</v>
      </c>
      <c r="D10" s="10">
        <v>34</v>
      </c>
      <c r="E10" s="6" t="s">
        <v>54</v>
      </c>
      <c r="F10" s="10">
        <v>37.6</v>
      </c>
      <c r="G10" s="10">
        <v>18.600000000000001</v>
      </c>
      <c r="H10" s="10">
        <v>15.3</v>
      </c>
      <c r="I10" s="10">
        <v>60.7</v>
      </c>
      <c r="J10" s="10">
        <v>13.5</v>
      </c>
      <c r="K10" s="10">
        <v>-39.799999999999997</v>
      </c>
      <c r="L10" s="10">
        <v>56.8</v>
      </c>
      <c r="M10" s="10">
        <v>12</v>
      </c>
      <c r="N10" s="10">
        <v>-93.3</v>
      </c>
      <c r="O10" s="10">
        <v>73.3</v>
      </c>
      <c r="P10" s="10">
        <v>76.599999999999994</v>
      </c>
      <c r="Q10" s="10">
        <v>75</v>
      </c>
      <c r="R10" s="10">
        <v>45.2</v>
      </c>
      <c r="S10" s="10">
        <v>60.2</v>
      </c>
      <c r="T10" s="10">
        <v>58.1</v>
      </c>
      <c r="V10" s="10">
        <v>0</v>
      </c>
      <c r="W10" s="10">
        <v>43</v>
      </c>
      <c r="X10" s="10">
        <v>20.3</v>
      </c>
      <c r="Y10" s="10">
        <v>12.9</v>
      </c>
      <c r="Z10" s="10">
        <v>59</v>
      </c>
      <c r="AA10" s="10">
        <v>34</v>
      </c>
      <c r="AB10" s="10">
        <v>-39.1</v>
      </c>
      <c r="AC10" s="10">
        <v>49.5</v>
      </c>
      <c r="AD10" s="10">
        <v>38.299999999999997</v>
      </c>
      <c r="AE10" s="10">
        <v>-92.1</v>
      </c>
      <c r="AF10" s="10">
        <v>79.3</v>
      </c>
      <c r="AG10" s="10">
        <v>71.8</v>
      </c>
      <c r="AH10" s="10">
        <v>77.3</v>
      </c>
      <c r="AI10" s="10">
        <v>47.5</v>
      </c>
      <c r="AJ10" s="10">
        <v>58.6</v>
      </c>
      <c r="AK10" s="10">
        <v>71.8</v>
      </c>
      <c r="AM10" s="10">
        <v>0</v>
      </c>
      <c r="AN10" s="10">
        <v>42.9</v>
      </c>
      <c r="AO10" s="10">
        <v>13.4</v>
      </c>
      <c r="AP10" s="10">
        <v>54.1</v>
      </c>
      <c r="AQ10" s="10">
        <v>59.7</v>
      </c>
      <c r="AR10" s="10">
        <v>11.7</v>
      </c>
      <c r="AS10" s="10">
        <v>4</v>
      </c>
      <c r="AT10" s="10">
        <v>50.3</v>
      </c>
      <c r="AU10" s="10">
        <v>4.87</v>
      </c>
      <c r="AV10" s="10">
        <v>-55.4</v>
      </c>
      <c r="AW10" s="10">
        <v>50.4</v>
      </c>
      <c r="AX10" s="10">
        <v>88.8</v>
      </c>
      <c r="AY10" s="10">
        <v>83.8</v>
      </c>
      <c r="AZ10" s="10">
        <v>20</v>
      </c>
      <c r="BA10" s="10">
        <v>88.5</v>
      </c>
      <c r="BB10" s="10">
        <v>51.6</v>
      </c>
      <c r="BD10" s="10">
        <v>0</v>
      </c>
      <c r="BE10" s="10">
        <v>39.9</v>
      </c>
      <c r="BF10">
        <v>19.600000000000001</v>
      </c>
      <c r="BG10" s="10">
        <v>16.600000000000001</v>
      </c>
      <c r="BH10">
        <v>56.5</v>
      </c>
      <c r="BI10" s="10">
        <v>15.6</v>
      </c>
      <c r="BJ10" s="10">
        <v>-35.1</v>
      </c>
      <c r="BK10">
        <v>55.5</v>
      </c>
      <c r="BL10" s="10">
        <v>8.36</v>
      </c>
      <c r="BM10" s="10">
        <v>-84.3</v>
      </c>
      <c r="BN10" s="10">
        <v>55.9</v>
      </c>
      <c r="BO10" s="10">
        <v>92.3</v>
      </c>
      <c r="BP10" s="10">
        <v>84.5</v>
      </c>
      <c r="BQ10" s="10">
        <v>31.8</v>
      </c>
      <c r="BR10">
        <v>91.5</v>
      </c>
      <c r="BS10" s="10">
        <v>72.400000000000006</v>
      </c>
      <c r="BU10" s="10">
        <v>0</v>
      </c>
      <c r="BV10" s="6">
        <f>W10-F10</f>
        <v>5.3999999999999986</v>
      </c>
      <c r="BW10" s="9">
        <f>((W10-F10)/F10)</f>
        <v>0.1436170212765957</v>
      </c>
      <c r="BX10" s="6">
        <f>SUM(X10)- G10</f>
        <v>1.6999999999999993</v>
      </c>
      <c r="BY10" s="9">
        <f>((X10-G10)/G10)</f>
        <v>9.1397849462365552E-2</v>
      </c>
      <c r="BZ10" s="6">
        <f>Y10-(H10)</f>
        <v>-2.4000000000000004</v>
      </c>
      <c r="CA10" s="9">
        <f>-((Y10-H10)/H10)</f>
        <v>0.15686274509803924</v>
      </c>
      <c r="CB10" s="6">
        <f>Z10-I10</f>
        <v>-1.7000000000000028</v>
      </c>
      <c r="CC10" s="9">
        <f>((Z10-I10)/I10)</f>
        <v>-2.8006589785832006E-2</v>
      </c>
      <c r="CD10" s="6">
        <f>AA10-J10</f>
        <v>20.5</v>
      </c>
      <c r="CE10" s="9">
        <f>((AA10-J10)/J10)</f>
        <v>1.5185185185185186</v>
      </c>
      <c r="CF10" s="6">
        <f>AB10-(K10)</f>
        <v>0.69999999999999574</v>
      </c>
      <c r="CG10" s="9">
        <f>-((AB10-K10)/K10)</f>
        <v>1.7587939698492358E-2</v>
      </c>
      <c r="CH10" s="6">
        <f>AC10-L10</f>
        <v>-7.2999999999999972</v>
      </c>
      <c r="CI10" s="9">
        <f>((AC10-L10)/L10)</f>
        <v>-0.12852112676056335</v>
      </c>
      <c r="CJ10" s="6">
        <f>AD10-M10</f>
        <v>26.299999999999997</v>
      </c>
      <c r="CK10" s="9">
        <f>((AD10-M10)/M10)</f>
        <v>2.1916666666666664</v>
      </c>
      <c r="CL10" s="6">
        <f>AE10-(N10)</f>
        <v>1.2000000000000028</v>
      </c>
      <c r="CM10" s="9">
        <f>-((AE10-N10)/N10)</f>
        <v>1.2861736334405176E-2</v>
      </c>
      <c r="CN10" s="6">
        <f>AF10-O10</f>
        <v>6</v>
      </c>
      <c r="CO10" s="9">
        <f>((AF10-O10)/O10)</f>
        <v>8.1855388813096869E-2</v>
      </c>
      <c r="CP10" s="6">
        <f>AG10-P10</f>
        <v>-4.7999999999999972</v>
      </c>
      <c r="CQ10" s="9">
        <f>((AG10-P10)/P10)</f>
        <v>-6.2663185378590044E-2</v>
      </c>
      <c r="CR10" s="6">
        <f>AH10-Q10</f>
        <v>2.2999999999999972</v>
      </c>
      <c r="CS10" s="9">
        <f>((AH10-Q10)/Q10)</f>
        <v>3.066666666666663E-2</v>
      </c>
      <c r="CT10" s="6">
        <f>AI10-R10</f>
        <v>2.2999999999999972</v>
      </c>
      <c r="CU10" s="9">
        <f>((AI10-R10)/R10)</f>
        <v>5.0884955752212323E-2</v>
      </c>
      <c r="CV10" s="6">
        <f>AJ10-S10</f>
        <v>-1.6000000000000014</v>
      </c>
      <c r="CW10" s="9">
        <f>((AJ10-S10)/S10)</f>
        <v>-2.6578073089701018E-2</v>
      </c>
      <c r="CX10" s="6">
        <f>AK10-T10</f>
        <v>13.699999999999996</v>
      </c>
      <c r="CY10" s="9">
        <f>((AK10-T10)/T10)</f>
        <v>0.23580034423407908</v>
      </c>
      <c r="CZ10" s="10"/>
      <c r="DA10" s="10"/>
      <c r="DB10" s="6">
        <f>SUM(BE10)- AN10</f>
        <v>-3</v>
      </c>
      <c r="DC10" s="9">
        <f>((BE10-AN10)/AN10)</f>
        <v>-6.9930069930069935E-2</v>
      </c>
      <c r="DD10" s="6">
        <f>BF10-(AO10)</f>
        <v>6.2000000000000011</v>
      </c>
      <c r="DE10" s="9">
        <f>((BF10-AO10)/AO10)</f>
        <v>0.46268656716417916</v>
      </c>
      <c r="DF10" s="6">
        <f>BG10-(AP10)</f>
        <v>-37.5</v>
      </c>
      <c r="DG10" s="9">
        <f>-((BG10-AP10)/AP10)</f>
        <v>0.69316081330868762</v>
      </c>
      <c r="DH10" s="6">
        <f>BH10-AQ10</f>
        <v>-3.2000000000000028</v>
      </c>
      <c r="DI10" s="9">
        <f>((BH10-AQ10)/AQ10)</f>
        <v>-5.360134003350088E-2</v>
      </c>
      <c r="DJ10" s="6">
        <f>BI10-(AR10)</f>
        <v>3.9000000000000004</v>
      </c>
      <c r="DK10" s="9">
        <f>((BI10-AR10)/AR10)</f>
        <v>0.33333333333333337</v>
      </c>
      <c r="DL10" s="6">
        <f>BJ10-(AS10)</f>
        <v>-39.1</v>
      </c>
      <c r="DM10" s="9">
        <f>-((BJ10-(AS10))/AS10)</f>
        <v>9.7750000000000004</v>
      </c>
      <c r="DN10" s="6">
        <f>BK10-AT10</f>
        <v>5.2000000000000028</v>
      </c>
      <c r="DO10" s="9">
        <f>((BK10-AT10)/AT10)</f>
        <v>0.10337972166998018</v>
      </c>
      <c r="DP10" s="6">
        <f>BL10-AU10</f>
        <v>3.4899999999999993</v>
      </c>
      <c r="DQ10" s="9">
        <f>((BL10-AU10)/AU10)</f>
        <v>0.71663244353182731</v>
      </c>
      <c r="DR10" s="6">
        <f>BM10-(AV10)</f>
        <v>-28.9</v>
      </c>
      <c r="DS10" s="9">
        <f>-((BM10-(AV10))/AV10)</f>
        <v>-0.52166064981949456</v>
      </c>
      <c r="DT10" s="6">
        <f>BN10-AW10</f>
        <v>5.5</v>
      </c>
      <c r="DU10" s="9">
        <f>((BN10-AW10)/AW10)</f>
        <v>0.10912698412698413</v>
      </c>
      <c r="DV10" s="6">
        <f>BO10-AX10</f>
        <v>3.5</v>
      </c>
      <c r="DW10" s="9">
        <f>((BO10-AX10)/AX10)</f>
        <v>3.9414414414414414E-2</v>
      </c>
      <c r="DX10" s="6">
        <f>BP10-AY10</f>
        <v>0.70000000000000284</v>
      </c>
      <c r="DY10" s="9">
        <f>((BP10-AY10)/AY10)</f>
        <v>8.3532219570406074E-3</v>
      </c>
      <c r="DZ10" s="6">
        <f>BQ10-AZ10</f>
        <v>11.8</v>
      </c>
      <c r="EA10" s="9">
        <f>((BQ10-AZ10)/AZ10)</f>
        <v>0.59000000000000008</v>
      </c>
      <c r="EB10" s="6">
        <f>BR10-BA10</f>
        <v>3</v>
      </c>
      <c r="EC10" s="9">
        <f>((BR10-(BA10))/BA10)</f>
        <v>3.3898305084745763E-2</v>
      </c>
      <c r="ED10" s="6">
        <f>BS10-BB10</f>
        <v>20.800000000000004</v>
      </c>
      <c r="EE10" s="9">
        <f>((BS10-(BB10))/BB10)</f>
        <v>0.4031007751937985</v>
      </c>
    </row>
    <row r="11" spans="1:137" ht="18.75" x14ac:dyDescent="0.3">
      <c r="A11" s="10">
        <v>6</v>
      </c>
      <c r="B11" s="10" t="s">
        <v>56</v>
      </c>
      <c r="C11" s="6" t="s">
        <v>34</v>
      </c>
      <c r="D11" s="10">
        <v>76</v>
      </c>
      <c r="E11" s="6" t="s">
        <v>35</v>
      </c>
      <c r="F11" s="10">
        <v>47.7</v>
      </c>
      <c r="G11" s="10">
        <v>20.8</v>
      </c>
      <c r="H11" s="10">
        <v>4</v>
      </c>
      <c r="I11" s="10">
        <v>65</v>
      </c>
      <c r="J11" s="10">
        <v>16.8</v>
      </c>
      <c r="K11" s="10">
        <v>-43.2</v>
      </c>
      <c r="L11" s="10">
        <v>69.099999999999994</v>
      </c>
      <c r="M11" s="10">
        <v>14.5</v>
      </c>
      <c r="N11" s="10">
        <v>-83.4</v>
      </c>
      <c r="O11" s="10">
        <v>64.8</v>
      </c>
      <c r="P11" s="10">
        <v>85.3</v>
      </c>
      <c r="Q11" s="10">
        <v>79.400000000000006</v>
      </c>
      <c r="R11" s="10">
        <v>50.3</v>
      </c>
      <c r="S11" s="10">
        <v>59.1</v>
      </c>
      <c r="T11" s="10">
        <v>46.6</v>
      </c>
      <c r="V11" s="10">
        <v>2</v>
      </c>
      <c r="AM11" s="10">
        <v>2</v>
      </c>
      <c r="AN11" s="10">
        <v>58.7</v>
      </c>
      <c r="AO11" s="10">
        <v>15.4</v>
      </c>
      <c r="AP11" s="10">
        <v>27</v>
      </c>
      <c r="AQ11" s="10">
        <v>60.2</v>
      </c>
      <c r="AR11" s="10">
        <v>17.2</v>
      </c>
      <c r="AS11">
        <v>-18.8</v>
      </c>
      <c r="AT11" s="10">
        <v>65.099999999999994</v>
      </c>
      <c r="AU11" s="10">
        <v>17</v>
      </c>
      <c r="AV11" s="10">
        <v>-50.5</v>
      </c>
      <c r="AW11" s="10">
        <v>89.7</v>
      </c>
      <c r="AX11" s="10">
        <v>81.8</v>
      </c>
      <c r="AY11" s="10">
        <v>81.599999999999994</v>
      </c>
      <c r="AZ11" s="10">
        <v>22.1</v>
      </c>
      <c r="BA11" s="10">
        <v>79.7</v>
      </c>
      <c r="BB11" s="10">
        <v>49.6</v>
      </c>
      <c r="BD11" s="10">
        <v>2</v>
      </c>
      <c r="BU11" s="10">
        <v>2</v>
      </c>
    </row>
    <row r="16" spans="1:137" s="10" customFormat="1" ht="18.75" x14ac:dyDescent="0.3">
      <c r="B16" s="10" t="s">
        <v>69</v>
      </c>
      <c r="C16" s="10" t="s">
        <v>68</v>
      </c>
      <c r="D16" s="10">
        <v>74</v>
      </c>
      <c r="F16" s="10">
        <v>63</v>
      </c>
      <c r="G16" s="10">
        <v>41.6</v>
      </c>
      <c r="H16" s="10">
        <v>15.3</v>
      </c>
      <c r="I16" s="10">
        <v>67.599999999999994</v>
      </c>
      <c r="J16" s="10">
        <v>49.5</v>
      </c>
      <c r="K16" s="10">
        <v>-25.6</v>
      </c>
      <c r="L16" s="10">
        <v>74.8</v>
      </c>
      <c r="M16" s="10">
        <v>25.5</v>
      </c>
      <c r="N16" s="10">
        <v>-61</v>
      </c>
      <c r="O16" s="10">
        <v>59.7</v>
      </c>
      <c r="P16" s="10">
        <v>80</v>
      </c>
      <c r="Q16" s="10">
        <v>66.099999999999994</v>
      </c>
      <c r="S16" s="10">
        <v>67.7</v>
      </c>
      <c r="T16" s="10">
        <v>63</v>
      </c>
      <c r="W16" s="10">
        <v>47.2</v>
      </c>
      <c r="X16" s="10">
        <v>34.5</v>
      </c>
      <c r="AI16" s="10" t="s">
        <v>55</v>
      </c>
      <c r="AN16" s="10">
        <v>63.1</v>
      </c>
      <c r="AO16" s="10">
        <v>49.9</v>
      </c>
      <c r="AP16" s="10">
        <v>21</v>
      </c>
      <c r="AQ16" s="10">
        <v>63.1</v>
      </c>
      <c r="AR16" s="10">
        <v>42.6</v>
      </c>
      <c r="AS16" s="10">
        <v>-31</v>
      </c>
      <c r="AT16" s="10">
        <v>61.6</v>
      </c>
      <c r="AU16" s="10">
        <v>52.8</v>
      </c>
      <c r="AV16" s="10">
        <v>-65.900000000000006</v>
      </c>
      <c r="AW16" s="10">
        <v>59.2</v>
      </c>
      <c r="AX16" s="10">
        <v>78.8</v>
      </c>
      <c r="AY16" s="10">
        <v>83.2</v>
      </c>
      <c r="BA16" s="10">
        <v>42.7</v>
      </c>
      <c r="BB16" s="10">
        <v>67.2</v>
      </c>
      <c r="BE16" s="10">
        <v>47.2</v>
      </c>
      <c r="BF16" s="10">
        <v>34.5</v>
      </c>
      <c r="BG16" s="10">
        <v>17.7</v>
      </c>
      <c r="BH16" s="10">
        <v>58.4</v>
      </c>
      <c r="BI16" s="10">
        <v>45.1</v>
      </c>
      <c r="BJ16" s="10">
        <v>43.8</v>
      </c>
      <c r="BK16" s="10">
        <v>59.9</v>
      </c>
      <c r="BL16" s="10">
        <v>57.8</v>
      </c>
      <c r="BM16" s="10">
        <v>69.8</v>
      </c>
      <c r="BN16" s="10">
        <v>64.599999999999994</v>
      </c>
      <c r="BO16" s="10">
        <v>72.599999999999994</v>
      </c>
      <c r="BP16" s="10">
        <v>84.8</v>
      </c>
    </row>
    <row r="19" spans="2:71" s="10" customFormat="1" ht="18.75" x14ac:dyDescent="0.3">
      <c r="B19" s="12" t="s">
        <v>66</v>
      </c>
      <c r="C19" s="10" t="s">
        <v>67</v>
      </c>
      <c r="D19" s="10">
        <v>55</v>
      </c>
    </row>
    <row r="20" spans="2:71" s="10" customFormat="1" ht="18.75" x14ac:dyDescent="0.3">
      <c r="B20" s="10" t="s">
        <v>58</v>
      </c>
      <c r="C20" s="10" t="s">
        <v>67</v>
      </c>
      <c r="D20" s="10">
        <v>39</v>
      </c>
      <c r="F20" s="10">
        <v>61.6</v>
      </c>
      <c r="G20" s="10">
        <v>42.1</v>
      </c>
      <c r="H20" s="10">
        <v>34.700000000000003</v>
      </c>
      <c r="I20" s="10">
        <v>78.3</v>
      </c>
      <c r="J20" s="10">
        <v>61.5</v>
      </c>
      <c r="K20" s="10">
        <v>-40.5</v>
      </c>
      <c r="L20" s="10">
        <v>72.8</v>
      </c>
      <c r="M20" s="10">
        <v>55.9</v>
      </c>
      <c r="N20" s="10">
        <v>-86.4</v>
      </c>
      <c r="O20" s="10">
        <v>80.599999999999994</v>
      </c>
      <c r="P20" s="10">
        <v>79.7</v>
      </c>
      <c r="Q20" s="10">
        <v>95.3</v>
      </c>
      <c r="R20" s="10">
        <v>39.5</v>
      </c>
      <c r="S20" s="10">
        <v>43.6</v>
      </c>
      <c r="T20" s="10">
        <v>70.099999999999994</v>
      </c>
      <c r="W20" s="10">
        <v>57</v>
      </c>
      <c r="X20" s="10">
        <v>53.3</v>
      </c>
      <c r="Y20" s="10">
        <v>16.2</v>
      </c>
      <c r="Z20" s="10">
        <v>47.1</v>
      </c>
      <c r="AA20" s="10">
        <v>69.3</v>
      </c>
      <c r="AB20" s="10">
        <v>-38.4</v>
      </c>
      <c r="AC20" s="10">
        <v>53.7</v>
      </c>
      <c r="AD20" s="10">
        <v>64</v>
      </c>
      <c r="AE20" s="10">
        <v>-98.6</v>
      </c>
      <c r="AF20" s="10">
        <v>71.7</v>
      </c>
      <c r="AG20" s="10">
        <v>78.3</v>
      </c>
      <c r="AH20" s="10">
        <v>81.400000000000006</v>
      </c>
      <c r="AI20" s="10">
        <v>48.2</v>
      </c>
      <c r="AJ20" s="10">
        <v>54.5</v>
      </c>
      <c r="AK20" s="10">
        <v>74.7</v>
      </c>
      <c r="AN20" s="10">
        <v>83.4</v>
      </c>
      <c r="AO20" s="10">
        <v>45</v>
      </c>
      <c r="AP20" s="10">
        <v>-26.4</v>
      </c>
      <c r="AQ20" s="10">
        <v>85.8</v>
      </c>
      <c r="AR20" s="10">
        <v>60.5</v>
      </c>
      <c r="AS20" s="10">
        <v>-37.299999999999997</v>
      </c>
      <c r="AT20" s="10">
        <v>80.2</v>
      </c>
      <c r="AU20" s="10">
        <v>37.299999999999997</v>
      </c>
      <c r="AV20" s="10">
        <v>-84.6</v>
      </c>
      <c r="AW20" s="10">
        <v>78.3</v>
      </c>
      <c r="AX20" s="10">
        <v>75.7</v>
      </c>
      <c r="AY20" s="10">
        <v>77.599999999999994</v>
      </c>
      <c r="AZ20" s="10">
        <v>36.1</v>
      </c>
      <c r="BA20" s="10">
        <v>52.2</v>
      </c>
      <c r="BB20" s="10">
        <v>55.2</v>
      </c>
    </row>
    <row r="21" spans="2:71" s="10" customFormat="1" ht="18.75" x14ac:dyDescent="0.3">
      <c r="B21" s="10" t="s">
        <v>70</v>
      </c>
      <c r="C21" s="10" t="s">
        <v>67</v>
      </c>
      <c r="D21" s="10">
        <v>63</v>
      </c>
      <c r="F21" s="10">
        <v>62</v>
      </c>
      <c r="G21" s="10">
        <v>32.4</v>
      </c>
      <c r="H21" s="10">
        <v>-19.8</v>
      </c>
      <c r="I21" s="10">
        <v>61.3</v>
      </c>
      <c r="J21" s="10">
        <v>27.5</v>
      </c>
      <c r="K21" s="10">
        <v>-34.9</v>
      </c>
      <c r="L21" s="10">
        <v>70.400000000000006</v>
      </c>
      <c r="M21" s="10">
        <v>16.2</v>
      </c>
      <c r="N21" s="10">
        <v>-57.8</v>
      </c>
      <c r="O21" s="10">
        <v>66.400000000000006</v>
      </c>
      <c r="P21" s="10">
        <v>70.400000000000006</v>
      </c>
      <c r="Q21" s="10">
        <v>78.7</v>
      </c>
      <c r="R21" s="10">
        <v>33.4</v>
      </c>
      <c r="S21" s="10">
        <v>67</v>
      </c>
      <c r="T21" s="10">
        <v>63.3</v>
      </c>
      <c r="W21" s="10">
        <v>47.1</v>
      </c>
      <c r="X21" s="10">
        <v>58.5</v>
      </c>
      <c r="Y21" s="10">
        <v>13.2</v>
      </c>
      <c r="Z21" s="10">
        <v>47.3</v>
      </c>
      <c r="AA21" s="10">
        <v>46.4</v>
      </c>
      <c r="AB21" s="10">
        <v>-25.3</v>
      </c>
      <c r="AC21" s="10">
        <v>58.3</v>
      </c>
      <c r="AD21" s="10">
        <v>37.9</v>
      </c>
      <c r="AE21" s="10">
        <v>50.6</v>
      </c>
      <c r="AF21" s="10">
        <v>84.1</v>
      </c>
      <c r="AG21" s="10">
        <v>56.5</v>
      </c>
      <c r="AH21" s="10">
        <v>63.1</v>
      </c>
      <c r="AI21" s="10">
        <v>16.100000000000001</v>
      </c>
      <c r="AJ21" s="10">
        <v>60.3</v>
      </c>
      <c r="AK21" s="10">
        <v>49.2</v>
      </c>
    </row>
    <row r="22" spans="2:71" s="10" customFormat="1" ht="18.75" x14ac:dyDescent="0.3">
      <c r="B22" s="10" t="s">
        <v>59</v>
      </c>
      <c r="C22" s="10" t="s">
        <v>68</v>
      </c>
      <c r="D22" s="10">
        <v>58</v>
      </c>
      <c r="F22" s="10">
        <v>43</v>
      </c>
      <c r="G22" s="10">
        <v>15.1</v>
      </c>
      <c r="H22" s="10">
        <v>18.399999999999999</v>
      </c>
      <c r="I22" s="10">
        <v>63.8</v>
      </c>
      <c r="J22" s="10">
        <v>12.2</v>
      </c>
      <c r="K22" s="10">
        <v>-28.4</v>
      </c>
      <c r="L22" s="10">
        <v>58.4</v>
      </c>
      <c r="M22" s="10">
        <v>10.199999999999999</v>
      </c>
      <c r="N22" s="10">
        <v>57.2</v>
      </c>
      <c r="O22" s="10">
        <v>84.2</v>
      </c>
      <c r="P22" s="10">
        <v>62.9</v>
      </c>
      <c r="Q22" s="10">
        <v>66.5</v>
      </c>
      <c r="R22" s="10">
        <v>41.5</v>
      </c>
      <c r="S22" s="10">
        <v>40.5</v>
      </c>
      <c r="T22" s="10">
        <v>37.299999999999997</v>
      </c>
      <c r="AN22" s="10">
        <v>64</v>
      </c>
      <c r="AO22" s="10">
        <v>27.6</v>
      </c>
      <c r="AP22" s="10">
        <v>20.7</v>
      </c>
      <c r="AQ22" s="10">
        <v>82.9</v>
      </c>
      <c r="AR22" s="10">
        <v>43.4</v>
      </c>
      <c r="AS22" s="10">
        <v>25.4</v>
      </c>
      <c r="AT22" s="10">
        <v>94.6</v>
      </c>
      <c r="AU22" s="10">
        <v>34.700000000000003</v>
      </c>
      <c r="AV22" s="10">
        <v>70.5</v>
      </c>
      <c r="AW22" s="10">
        <v>49.4</v>
      </c>
      <c r="AX22" s="10">
        <v>70.8</v>
      </c>
      <c r="AY22" s="10">
        <v>66</v>
      </c>
      <c r="AZ22" s="10">
        <v>24.4</v>
      </c>
      <c r="BA22" s="10">
        <v>47.7</v>
      </c>
      <c r="BB22" s="10">
        <v>66.5</v>
      </c>
      <c r="BE22" s="10">
        <v>38.799999999999997</v>
      </c>
      <c r="BF22" s="10">
        <v>66.5</v>
      </c>
      <c r="BG22" s="10">
        <v>18.5</v>
      </c>
      <c r="BH22" s="10">
        <v>76.8</v>
      </c>
      <c r="BI22" s="10">
        <v>41.7</v>
      </c>
      <c r="BJ22" s="10">
        <v>36.799999999999997</v>
      </c>
      <c r="BK22" s="10">
        <v>53.5</v>
      </c>
      <c r="BL22" s="10">
        <v>77.2</v>
      </c>
      <c r="BM22" s="10">
        <v>73.599999999999994</v>
      </c>
      <c r="BN22" s="10">
        <v>84.4</v>
      </c>
      <c r="BO22" s="10">
        <v>69.3</v>
      </c>
      <c r="BP22" s="10">
        <v>77.400000000000006</v>
      </c>
      <c r="BQ22" s="10">
        <v>27.1</v>
      </c>
      <c r="BR22" s="10">
        <v>51.1</v>
      </c>
      <c r="BS22" s="10">
        <v>145.6</v>
      </c>
    </row>
    <row r="23" spans="2:71" s="10" customFormat="1" ht="18.75" x14ac:dyDescent="0.3">
      <c r="B23" s="10" t="s">
        <v>62</v>
      </c>
      <c r="C23" s="10" t="s">
        <v>67</v>
      </c>
      <c r="D23" s="10">
        <v>57</v>
      </c>
      <c r="F23" s="10">
        <v>47.4</v>
      </c>
      <c r="G23" s="10">
        <v>48.8</v>
      </c>
      <c r="H23" s="10">
        <v>22</v>
      </c>
      <c r="I23" s="10">
        <v>60.7</v>
      </c>
      <c r="J23" s="10">
        <v>65.099999999999994</v>
      </c>
      <c r="K23" s="10">
        <v>39.5</v>
      </c>
      <c r="L23" s="10">
        <v>75.5</v>
      </c>
      <c r="M23" s="10">
        <v>76.900000000000006</v>
      </c>
      <c r="N23" s="10">
        <v>86.8</v>
      </c>
      <c r="O23" s="10">
        <v>54</v>
      </c>
      <c r="P23" s="10">
        <v>55.8</v>
      </c>
      <c r="Q23" s="10">
        <v>70.099999999999994</v>
      </c>
      <c r="R23" s="10">
        <v>51.6</v>
      </c>
      <c r="S23" s="10">
        <v>56.9</v>
      </c>
      <c r="T23" s="10">
        <v>58.6</v>
      </c>
    </row>
    <row r="24" spans="2:71" s="10" customFormat="1" ht="18.75" x14ac:dyDescent="0.3">
      <c r="B24" s="10" t="s">
        <v>71</v>
      </c>
      <c r="C24" s="10" t="s">
        <v>67</v>
      </c>
      <c r="D24" s="10">
        <v>39</v>
      </c>
      <c r="F24" s="10">
        <v>43.5</v>
      </c>
      <c r="G24" s="10">
        <v>12.4</v>
      </c>
      <c r="H24" s="10">
        <v>16.399999999999999</v>
      </c>
      <c r="I24" s="10">
        <v>65.099999999999994</v>
      </c>
      <c r="J24" s="10">
        <v>27.9</v>
      </c>
      <c r="K24" s="10">
        <v>27.6</v>
      </c>
      <c r="L24" s="10">
        <v>63.1</v>
      </c>
      <c r="M24" s="10">
        <v>15.5</v>
      </c>
      <c r="N24" s="10">
        <v>46.3</v>
      </c>
      <c r="O24" s="10">
        <v>79.2</v>
      </c>
      <c r="P24" s="10">
        <v>67.5</v>
      </c>
      <c r="Q24" s="10">
        <v>70.7</v>
      </c>
      <c r="R24" s="10">
        <v>42.6</v>
      </c>
      <c r="S24" s="10">
        <v>37.700000000000003</v>
      </c>
      <c r="T24" s="10">
        <v>67.2</v>
      </c>
      <c r="AN24" s="10">
        <v>41.4</v>
      </c>
      <c r="AO24" s="10">
        <v>22.8</v>
      </c>
      <c r="AP24" s="10">
        <v>16.899999999999999</v>
      </c>
      <c r="AQ24" s="10">
        <v>55.8</v>
      </c>
      <c r="AR24" s="10">
        <v>21.7</v>
      </c>
      <c r="AS24" s="10">
        <v>36.700000000000003</v>
      </c>
      <c r="AT24" s="10">
        <v>63.2</v>
      </c>
      <c r="AU24" s="10">
        <v>77.099999999999994</v>
      </c>
      <c r="AV24" s="10">
        <v>66.400000000000006</v>
      </c>
      <c r="AW24" s="10">
        <v>82.3</v>
      </c>
      <c r="AX24" s="10">
        <v>64.8</v>
      </c>
      <c r="AY24" s="10">
        <v>66.599999999999994</v>
      </c>
      <c r="AZ24" s="10">
        <v>19.8</v>
      </c>
      <c r="BA24" s="10">
        <v>32.1</v>
      </c>
      <c r="BB24" s="10">
        <v>54.2</v>
      </c>
    </row>
    <row r="25" spans="2:71" s="10" customFormat="1" ht="18.75" x14ac:dyDescent="0.3">
      <c r="B25" s="10" t="s">
        <v>61</v>
      </c>
      <c r="C25" s="10" t="s">
        <v>68</v>
      </c>
      <c r="D25" s="10">
        <v>57</v>
      </c>
      <c r="F25" s="10">
        <v>33.700000000000003</v>
      </c>
      <c r="G25" s="10">
        <v>22.8</v>
      </c>
      <c r="H25" s="10">
        <v>24.5</v>
      </c>
      <c r="I25" s="10">
        <v>51.6</v>
      </c>
      <c r="J25" s="10">
        <v>14.9</v>
      </c>
      <c r="K25" s="10">
        <v>41.4</v>
      </c>
      <c r="L25" s="10">
        <v>52.6</v>
      </c>
      <c r="M25" s="10">
        <v>69.400000000000006</v>
      </c>
      <c r="N25" s="10">
        <v>83.4</v>
      </c>
      <c r="O25" s="10">
        <v>92.8</v>
      </c>
      <c r="P25" s="10">
        <v>77.3</v>
      </c>
      <c r="Q25" s="10">
        <v>76.3</v>
      </c>
      <c r="R25" s="10">
        <v>45.6</v>
      </c>
      <c r="S25" s="10">
        <v>73.400000000000006</v>
      </c>
      <c r="T25" s="10">
        <v>46.2</v>
      </c>
      <c r="W25" s="10">
        <v>36.6</v>
      </c>
      <c r="X25" s="10">
        <v>14.5</v>
      </c>
      <c r="Y25" s="10">
        <v>14.7</v>
      </c>
      <c r="Z25" s="10">
        <v>49.6</v>
      </c>
      <c r="AA25" s="10">
        <v>31.7</v>
      </c>
      <c r="AB25" s="10">
        <v>34.700000000000003</v>
      </c>
      <c r="AC25" s="10">
        <v>58.9</v>
      </c>
      <c r="AD25" s="10">
        <v>12.7</v>
      </c>
      <c r="AE25" s="10">
        <v>54.8</v>
      </c>
      <c r="AF25" s="10">
        <v>93.7</v>
      </c>
      <c r="AG25" s="10">
        <v>63.3</v>
      </c>
      <c r="AH25" s="10">
        <v>81.400000000000006</v>
      </c>
      <c r="AI25" s="10">
        <v>17.3</v>
      </c>
      <c r="AJ25" s="10">
        <v>49.9</v>
      </c>
      <c r="AK25" s="10">
        <v>68.5</v>
      </c>
      <c r="AN25" s="10">
        <v>38.4</v>
      </c>
      <c r="AO25" s="10">
        <v>18.7</v>
      </c>
      <c r="AP25" s="10">
        <v>19.8</v>
      </c>
      <c r="AQ25" s="10">
        <v>56.1</v>
      </c>
      <c r="AR25" s="10">
        <v>26.6</v>
      </c>
      <c r="AS25" s="10">
        <v>39.5</v>
      </c>
      <c r="AT25" s="10">
        <v>47.3</v>
      </c>
      <c r="AU25" s="10">
        <v>16.7</v>
      </c>
      <c r="AV25" s="10">
        <v>69.599999999999994</v>
      </c>
      <c r="AW25" s="10">
        <v>66.400000000000006</v>
      </c>
      <c r="AX25" s="10">
        <v>71.099999999999994</v>
      </c>
      <c r="AY25" s="10">
        <v>69.3</v>
      </c>
      <c r="AZ25" s="10">
        <v>40.200000000000003</v>
      </c>
      <c r="BA25" s="10">
        <v>48.4</v>
      </c>
      <c r="BB25" s="10">
        <v>56.5</v>
      </c>
    </row>
    <row r="26" spans="2:71" s="10" customFormat="1" ht="18.75" x14ac:dyDescent="0.3">
      <c r="B26" s="10" t="s">
        <v>60</v>
      </c>
      <c r="C26" s="10" t="s">
        <v>68</v>
      </c>
      <c r="D26" s="10">
        <v>50</v>
      </c>
      <c r="F26" s="10">
        <v>39.5</v>
      </c>
      <c r="G26" s="10">
        <v>14.6</v>
      </c>
      <c r="H26" s="10">
        <v>19.5</v>
      </c>
      <c r="I26" s="10">
        <v>70.400000000000006</v>
      </c>
      <c r="J26" s="10">
        <v>20.9</v>
      </c>
      <c r="K26" s="10">
        <v>40.700000000000003</v>
      </c>
      <c r="L26" s="10">
        <v>71.7</v>
      </c>
      <c r="M26" s="10">
        <v>16.100000000000001</v>
      </c>
      <c r="N26" s="10">
        <v>83.9</v>
      </c>
      <c r="O26" s="10">
        <v>62.8</v>
      </c>
      <c r="P26" s="10">
        <v>65.400000000000006</v>
      </c>
      <c r="Q26" s="10">
        <v>67</v>
      </c>
      <c r="R26" s="10">
        <v>23.4</v>
      </c>
      <c r="S26" s="10">
        <v>57.6</v>
      </c>
      <c r="T26" s="10">
        <v>68.2</v>
      </c>
      <c r="W26" s="10">
        <v>32.700000000000003</v>
      </c>
      <c r="X26" s="10">
        <v>22.1</v>
      </c>
      <c r="Y26" s="10">
        <v>16.399999999999999</v>
      </c>
      <c r="Z26" s="10">
        <v>49</v>
      </c>
      <c r="AA26" s="10">
        <v>22.2</v>
      </c>
      <c r="AB26" s="10">
        <v>45.2</v>
      </c>
      <c r="AC26" s="10">
        <v>49.6</v>
      </c>
      <c r="AD26" s="10">
        <v>19.399999999999999</v>
      </c>
      <c r="AE26" s="10">
        <v>70.2</v>
      </c>
      <c r="AF26" s="10">
        <v>86.8</v>
      </c>
      <c r="AG26" s="10">
        <v>58.2</v>
      </c>
      <c r="AH26" s="10">
        <v>80.099999999999994</v>
      </c>
      <c r="AJ26" s="10">
        <v>83.7</v>
      </c>
      <c r="AK26" s="10">
        <v>35.700000000000003</v>
      </c>
      <c r="AN26" s="10">
        <v>41</v>
      </c>
      <c r="AO26" s="10">
        <v>20.2</v>
      </c>
      <c r="AP26" s="10">
        <v>21.9</v>
      </c>
      <c r="AQ26" s="10">
        <v>70.099999999999994</v>
      </c>
      <c r="AR26" s="10">
        <v>22.6</v>
      </c>
      <c r="AS26" s="10">
        <v>48.4</v>
      </c>
      <c r="AT26" s="10">
        <v>69.5</v>
      </c>
      <c r="AU26" s="10">
        <v>20.2</v>
      </c>
      <c r="AV26" s="10">
        <v>86.3</v>
      </c>
      <c r="AW26" s="10">
        <v>51.9</v>
      </c>
      <c r="AX26" s="10">
        <v>66.5</v>
      </c>
      <c r="AY26" s="10">
        <v>64.400000000000006</v>
      </c>
      <c r="BA26" s="10">
        <v>53.2</v>
      </c>
      <c r="BB26" s="10">
        <v>45.7</v>
      </c>
      <c r="BE26" s="10">
        <v>24.7</v>
      </c>
      <c r="BF26" s="10">
        <v>34</v>
      </c>
      <c r="BG26" s="10">
        <v>-17.2</v>
      </c>
      <c r="BH26" s="10">
        <v>40.6</v>
      </c>
      <c r="BI26" s="10">
        <v>35.5</v>
      </c>
      <c r="BJ26" s="10">
        <v>34.299999999999997</v>
      </c>
      <c r="BK26" s="10">
        <v>54.5</v>
      </c>
      <c r="BL26" s="10">
        <v>50.9</v>
      </c>
      <c r="BM26" s="10">
        <v>56.8</v>
      </c>
      <c r="BN26" s="10">
        <v>82.1</v>
      </c>
      <c r="BO26" s="10">
        <v>62.4</v>
      </c>
      <c r="BP26" s="10">
        <v>70.400000000000006</v>
      </c>
      <c r="BR26" s="10">
        <v>65.3</v>
      </c>
      <c r="BS26" s="10">
        <v>81.5</v>
      </c>
    </row>
    <row r="27" spans="2:71" s="10" customFormat="1" ht="18.75" x14ac:dyDescent="0.3">
      <c r="B27" s="10" t="s">
        <v>72</v>
      </c>
      <c r="C27" s="10" t="s">
        <v>67</v>
      </c>
      <c r="D27" s="10">
        <v>58</v>
      </c>
      <c r="F27" s="10">
        <v>39.5</v>
      </c>
      <c r="G27" s="10">
        <v>50.8</v>
      </c>
      <c r="H27" s="10">
        <v>24.9</v>
      </c>
      <c r="I27" s="10">
        <v>61.6</v>
      </c>
      <c r="J27" s="10">
        <v>53.5</v>
      </c>
      <c r="K27" s="10">
        <v>46</v>
      </c>
      <c r="L27" s="10">
        <v>76.7</v>
      </c>
      <c r="M27" s="10">
        <v>41.9</v>
      </c>
      <c r="N27" s="10">
        <v>79.900000000000006</v>
      </c>
      <c r="O27" s="10">
        <v>73.3</v>
      </c>
      <c r="P27" s="10">
        <v>80.7</v>
      </c>
      <c r="Q27" s="10">
        <v>67.3</v>
      </c>
      <c r="S27" s="10">
        <v>42.4</v>
      </c>
      <c r="T27" s="10">
        <v>73.099999999999994</v>
      </c>
      <c r="W27" s="10">
        <v>45.7</v>
      </c>
      <c r="X27" s="10">
        <v>28.8</v>
      </c>
      <c r="Y27" s="10">
        <v>23.1</v>
      </c>
      <c r="Z27" s="10">
        <v>62.1</v>
      </c>
      <c r="AA27" s="10">
        <v>44.9</v>
      </c>
      <c r="AB27" s="10">
        <v>37.4</v>
      </c>
      <c r="AC27" s="10">
        <v>63.1</v>
      </c>
      <c r="AD27" s="10">
        <v>43.1</v>
      </c>
      <c r="AE27" s="10">
        <v>86.6</v>
      </c>
      <c r="AF27" s="10">
        <v>86.5</v>
      </c>
      <c r="AG27" s="10">
        <v>63.6</v>
      </c>
      <c r="AH27" s="10">
        <v>70.2</v>
      </c>
      <c r="AJ27" s="10">
        <v>51.5</v>
      </c>
      <c r="AK27" s="10">
        <v>80.7</v>
      </c>
      <c r="AN27" s="10">
        <v>73.900000000000006</v>
      </c>
      <c r="AO27" s="10">
        <v>27</v>
      </c>
      <c r="AP27" s="10">
        <v>25.1</v>
      </c>
      <c r="AQ27" s="10">
        <v>87.7</v>
      </c>
      <c r="AR27" s="10">
        <v>39.1</v>
      </c>
      <c r="AS27" s="10">
        <v>32.5</v>
      </c>
      <c r="AT27" s="10">
        <v>81.400000000000006</v>
      </c>
      <c r="AU27" s="10">
        <v>38.4</v>
      </c>
      <c r="AV27" s="10">
        <v>76.900000000000006</v>
      </c>
      <c r="AW27" s="10">
        <v>68.7</v>
      </c>
      <c r="AX27" s="10">
        <v>67.3</v>
      </c>
      <c r="AY27" s="10">
        <v>78.7</v>
      </c>
      <c r="BA27" s="10">
        <v>53.7</v>
      </c>
      <c r="BB27" s="10">
        <v>75.400000000000006</v>
      </c>
      <c r="BE27" s="10">
        <v>50.5</v>
      </c>
      <c r="BF27" s="10">
        <v>44.6</v>
      </c>
      <c r="BG27" s="10">
        <v>20.6</v>
      </c>
      <c r="BH27" s="10">
        <v>52.5</v>
      </c>
      <c r="BI27" s="10">
        <v>67.8</v>
      </c>
      <c r="BJ27" s="10">
        <v>56.1</v>
      </c>
      <c r="BK27" s="10">
        <v>38.799999999999997</v>
      </c>
      <c r="BL27" s="10">
        <v>70.7</v>
      </c>
      <c r="BM27" s="10">
        <v>72.099999999999994</v>
      </c>
      <c r="BN27" s="10">
        <v>62.1</v>
      </c>
      <c r="BO27" s="10">
        <v>66.2</v>
      </c>
      <c r="BP27" s="10">
        <v>82.8</v>
      </c>
      <c r="BR27" s="10">
        <v>59.5</v>
      </c>
      <c r="BS27" s="10">
        <v>86.6</v>
      </c>
    </row>
    <row r="28" spans="2:71" s="10" customFormat="1" ht="18.75" x14ac:dyDescent="0.3">
      <c r="B28" s="10" t="s">
        <v>73</v>
      </c>
      <c r="C28" s="10" t="s">
        <v>68</v>
      </c>
      <c r="D28" s="10">
        <v>41</v>
      </c>
      <c r="F28" s="10">
        <v>39.200000000000003</v>
      </c>
      <c r="G28" s="10">
        <v>26.9</v>
      </c>
      <c r="H28" s="10">
        <v>22.3</v>
      </c>
      <c r="I28" s="10">
        <v>56.3</v>
      </c>
      <c r="J28" s="10">
        <v>36.700000000000003</v>
      </c>
      <c r="K28" s="10">
        <v>42.5</v>
      </c>
      <c r="L28" s="10">
        <v>60.1</v>
      </c>
      <c r="M28" s="10">
        <v>37.9</v>
      </c>
      <c r="N28" s="10">
        <v>88.1</v>
      </c>
      <c r="O28" s="10">
        <v>70.400000000000006</v>
      </c>
      <c r="P28" s="10">
        <v>76.599999999999994</v>
      </c>
      <c r="Q28" s="10">
        <v>73.599999999999994</v>
      </c>
      <c r="S28" s="10">
        <v>36.299999999999997</v>
      </c>
      <c r="T28" s="10">
        <v>57.5</v>
      </c>
      <c r="W28" s="10">
        <v>38.5</v>
      </c>
      <c r="X28" s="10">
        <v>47.4</v>
      </c>
      <c r="Y28" s="10">
        <v>14.4</v>
      </c>
      <c r="Z28" s="10">
        <v>47.1</v>
      </c>
      <c r="AA28" s="10">
        <v>53.2</v>
      </c>
      <c r="AB28" s="10">
        <v>64.099999999999994</v>
      </c>
      <c r="AC28" s="10">
        <v>42.9</v>
      </c>
      <c r="AD28" s="10">
        <v>58.6</v>
      </c>
      <c r="AE28" s="10">
        <v>80.599999999999994</v>
      </c>
      <c r="AF28" s="10">
        <v>77.599999999999994</v>
      </c>
      <c r="AG28" s="10">
        <v>74.7</v>
      </c>
      <c r="AH28" s="10">
        <v>85.8</v>
      </c>
      <c r="AJ28" s="10">
        <v>55.2</v>
      </c>
      <c r="AK28" s="10">
        <v>139.19999999999999</v>
      </c>
      <c r="AN28" s="10">
        <v>56.6</v>
      </c>
      <c r="AO28" s="10">
        <v>25.9</v>
      </c>
      <c r="AP28" s="10">
        <v>20.9</v>
      </c>
      <c r="AQ28" s="10">
        <v>65.3</v>
      </c>
      <c r="AR28" s="10">
        <v>40.200000000000003</v>
      </c>
      <c r="AS28" s="10">
        <v>34.299999999999997</v>
      </c>
      <c r="AT28" s="10">
        <v>61.3</v>
      </c>
      <c r="AU28" s="10">
        <v>30.2</v>
      </c>
      <c r="AV28" s="10">
        <v>96.7</v>
      </c>
      <c r="AW28" s="10">
        <v>74.7</v>
      </c>
      <c r="AX28" s="10">
        <v>74.599999999999994</v>
      </c>
      <c r="AY28" s="10">
        <v>78.8</v>
      </c>
      <c r="BA28" s="10">
        <v>50.8</v>
      </c>
      <c r="BB28" s="10">
        <v>70.2</v>
      </c>
      <c r="BE28" s="10">
        <v>48.7</v>
      </c>
      <c r="BF28" s="10">
        <v>51.2</v>
      </c>
      <c r="BG28" s="10">
        <v>14.6</v>
      </c>
      <c r="BH28" s="10">
        <v>26.4</v>
      </c>
      <c r="BI28" s="10">
        <v>79.599999999999994</v>
      </c>
      <c r="BJ28" s="10">
        <v>57.6</v>
      </c>
      <c r="BK28" s="10">
        <v>33.200000000000003</v>
      </c>
      <c r="BL28" s="10">
        <v>79.099999999999994</v>
      </c>
      <c r="BM28" s="10">
        <v>77.900000000000006</v>
      </c>
      <c r="BN28" s="10">
        <v>66.7</v>
      </c>
      <c r="BO28" s="10">
        <v>67.400000000000006</v>
      </c>
      <c r="BP28" s="10">
        <v>89.4</v>
      </c>
      <c r="BR28" s="10">
        <v>49.6</v>
      </c>
      <c r="BS28" s="10">
        <v>87.1</v>
      </c>
    </row>
    <row r="29" spans="2:71" s="10" customFormat="1" ht="18.75" x14ac:dyDescent="0.3">
      <c r="B29" s="10" t="s">
        <v>74</v>
      </c>
      <c r="C29" s="10" t="s">
        <v>67</v>
      </c>
      <c r="D29" s="10">
        <v>61</v>
      </c>
      <c r="F29" s="10">
        <v>52.4</v>
      </c>
      <c r="G29" s="10">
        <v>34.5</v>
      </c>
      <c r="H29" s="10">
        <v>23.4</v>
      </c>
      <c r="I29" s="10">
        <v>73.400000000000006</v>
      </c>
      <c r="J29" s="10">
        <v>52.6</v>
      </c>
      <c r="K29" s="10">
        <v>44.6</v>
      </c>
      <c r="L29" s="10">
        <v>69.900000000000006</v>
      </c>
      <c r="M29" s="10">
        <v>81.900000000000006</v>
      </c>
      <c r="N29" s="10">
        <v>95.6</v>
      </c>
      <c r="O29" s="10">
        <v>81.8</v>
      </c>
      <c r="P29" s="10">
        <v>64.8</v>
      </c>
      <c r="Q29" s="10">
        <v>79.099999999999994</v>
      </c>
      <c r="S29" s="10">
        <v>42.8</v>
      </c>
      <c r="T29" s="10">
        <v>48.8</v>
      </c>
      <c r="AN29" s="10">
        <v>88.9</v>
      </c>
      <c r="AO29" s="10">
        <v>37.700000000000003</v>
      </c>
      <c r="AP29" s="10">
        <v>19.600000000000001</v>
      </c>
      <c r="AQ29" s="10">
        <v>91.9</v>
      </c>
      <c r="AR29" s="10">
        <v>36.200000000000003</v>
      </c>
      <c r="AS29" s="10">
        <v>43.7</v>
      </c>
      <c r="AT29" s="10">
        <v>95.1</v>
      </c>
      <c r="AU29" s="10">
        <v>28.9</v>
      </c>
      <c r="AV29" s="10">
        <v>75.599999999999994</v>
      </c>
      <c r="AW29" s="10">
        <v>35.200000000000003</v>
      </c>
      <c r="AX29" s="10">
        <v>86.6</v>
      </c>
      <c r="AY29" s="10">
        <v>77.2</v>
      </c>
      <c r="BA29" s="10">
        <v>89.6</v>
      </c>
      <c r="BB29" s="10">
        <v>68.2</v>
      </c>
      <c r="BE29" s="10">
        <v>78.599999999999994</v>
      </c>
      <c r="BF29" s="10">
        <v>50.8</v>
      </c>
      <c r="BG29" s="10">
        <v>19.5</v>
      </c>
      <c r="BH29" s="10">
        <v>63.9</v>
      </c>
      <c r="BI29" s="10">
        <v>62.7</v>
      </c>
      <c r="BJ29" s="10">
        <v>33.4</v>
      </c>
      <c r="BK29" s="10">
        <v>61.3</v>
      </c>
      <c r="BL29" s="10">
        <v>56.8</v>
      </c>
      <c r="BM29" s="10">
        <v>82.9</v>
      </c>
      <c r="BN29" s="10">
        <v>74.099999999999994</v>
      </c>
      <c r="BO29" s="10">
        <v>68.599999999999994</v>
      </c>
      <c r="BP29" s="10">
        <v>84.1</v>
      </c>
      <c r="BR29" s="10">
        <v>54.2</v>
      </c>
      <c r="BS29" s="10">
        <v>47.5</v>
      </c>
    </row>
    <row r="30" spans="2:71" s="10" customFormat="1" ht="18.75" x14ac:dyDescent="0.3">
      <c r="B30" s="10" t="s">
        <v>64</v>
      </c>
      <c r="C30" s="10" t="s">
        <v>68</v>
      </c>
      <c r="D30" s="10">
        <v>48</v>
      </c>
      <c r="F30" s="10">
        <v>33.700000000000003</v>
      </c>
      <c r="G30" s="10">
        <v>20.8</v>
      </c>
      <c r="H30" s="10">
        <v>13.5</v>
      </c>
      <c r="I30" s="10">
        <v>47.3</v>
      </c>
      <c r="J30" s="10">
        <v>38.6</v>
      </c>
      <c r="K30" s="10">
        <v>35.799999999999997</v>
      </c>
      <c r="L30" s="10">
        <v>27.2</v>
      </c>
      <c r="M30" s="10">
        <v>52.4</v>
      </c>
      <c r="N30" s="10">
        <v>65.599999999999994</v>
      </c>
      <c r="O30" s="10">
        <v>85.4</v>
      </c>
      <c r="P30" s="10">
        <v>63.6</v>
      </c>
      <c r="Q30" s="10">
        <v>69.2</v>
      </c>
      <c r="S30" s="10">
        <v>41.1</v>
      </c>
      <c r="T30" s="10">
        <v>68.2</v>
      </c>
      <c r="W30" s="10">
        <v>31.1</v>
      </c>
      <c r="X30" s="10">
        <v>33.6</v>
      </c>
      <c r="Y30" s="10">
        <v>16.7</v>
      </c>
      <c r="Z30" s="10">
        <v>46.4</v>
      </c>
      <c r="AA30" s="10">
        <v>31.6</v>
      </c>
      <c r="AB30" s="10">
        <v>31.2</v>
      </c>
      <c r="AC30" s="10">
        <v>51.8</v>
      </c>
      <c r="AD30" s="10">
        <v>37.1</v>
      </c>
      <c r="AE30" s="10">
        <v>53.4</v>
      </c>
      <c r="AF30" s="10">
        <v>81.900000000000006</v>
      </c>
      <c r="AG30" s="10">
        <v>54.1</v>
      </c>
      <c r="AH30" s="10">
        <v>70.5</v>
      </c>
      <c r="AJ30" s="10">
        <v>45.4</v>
      </c>
      <c r="AK30" s="10">
        <v>52.8</v>
      </c>
      <c r="AN30" s="10">
        <v>46.1</v>
      </c>
      <c r="AO30" s="10">
        <v>20.7</v>
      </c>
      <c r="AP30" s="10">
        <v>13.2</v>
      </c>
      <c r="AQ30" s="10">
        <v>60.2</v>
      </c>
      <c r="AR30" s="10">
        <v>27.8</v>
      </c>
      <c r="AS30" s="10">
        <v>38.1</v>
      </c>
      <c r="AT30" s="10">
        <v>61.4</v>
      </c>
      <c r="AU30" s="10">
        <v>24.1</v>
      </c>
      <c r="AV30" s="10">
        <v>62.9</v>
      </c>
      <c r="AW30" s="10">
        <v>94.9</v>
      </c>
      <c r="AX30" s="10">
        <v>64.900000000000006</v>
      </c>
      <c r="AY30" s="10">
        <v>75.3</v>
      </c>
      <c r="BA30" s="10">
        <v>48.3</v>
      </c>
      <c r="BB30" s="10">
        <v>55.3</v>
      </c>
      <c r="BE30" s="10">
        <v>39.299999999999997</v>
      </c>
      <c r="BF30" s="10">
        <v>35.9</v>
      </c>
      <c r="BG30" s="10">
        <v>16.399999999999999</v>
      </c>
      <c r="BH30" s="10">
        <v>48.8</v>
      </c>
      <c r="BI30" s="10">
        <v>51.1</v>
      </c>
      <c r="BJ30" s="10">
        <v>36.9</v>
      </c>
      <c r="BK30" s="10">
        <v>19.899999999999999</v>
      </c>
      <c r="BL30" s="10">
        <v>57.9</v>
      </c>
      <c r="BM30" s="10">
        <v>61.7</v>
      </c>
      <c r="BN30" s="10">
        <v>97.1</v>
      </c>
      <c r="BO30" s="10">
        <v>57.5</v>
      </c>
      <c r="BP30" s="10">
        <v>87.3</v>
      </c>
      <c r="BR30" s="10">
        <v>51.9</v>
      </c>
      <c r="BS30" s="10">
        <v>86.8</v>
      </c>
    </row>
    <row r="31" spans="2:71" s="10" customFormat="1" ht="18.75" x14ac:dyDescent="0.3">
      <c r="B31" s="12" t="s">
        <v>75</v>
      </c>
      <c r="C31" s="10" t="s">
        <v>68</v>
      </c>
      <c r="D31" s="10">
        <v>53</v>
      </c>
      <c r="F31" s="10">
        <v>35.4</v>
      </c>
      <c r="G31" s="10">
        <v>34.5</v>
      </c>
      <c r="H31" s="10">
        <v>16.899999999999999</v>
      </c>
      <c r="I31" s="10">
        <v>51.3</v>
      </c>
      <c r="J31" s="10">
        <v>25.2</v>
      </c>
      <c r="K31" s="10">
        <v>46.9</v>
      </c>
      <c r="L31" s="10">
        <v>55.1</v>
      </c>
      <c r="M31" s="10">
        <v>24.2</v>
      </c>
      <c r="N31" s="10">
        <v>85.3</v>
      </c>
      <c r="O31" s="10">
        <v>85.2</v>
      </c>
      <c r="P31" s="10">
        <v>68.7</v>
      </c>
      <c r="Q31" s="10">
        <v>73.7</v>
      </c>
      <c r="S31" s="10">
        <v>47.3</v>
      </c>
      <c r="T31" s="10">
        <v>49.1</v>
      </c>
      <c r="W31" s="10">
        <v>30.3</v>
      </c>
      <c r="X31" s="10">
        <v>38.6</v>
      </c>
      <c r="Y31" s="10">
        <v>19.100000000000001</v>
      </c>
      <c r="Z31" s="10">
        <v>46.4</v>
      </c>
      <c r="AA31" s="10">
        <v>44.1</v>
      </c>
      <c r="AB31" s="10">
        <v>46.2</v>
      </c>
      <c r="AC31" s="10">
        <v>49.1</v>
      </c>
      <c r="AD31" s="10">
        <v>35.799999999999997</v>
      </c>
      <c r="AE31" s="10">
        <v>82.3</v>
      </c>
      <c r="AF31" s="10">
        <v>87.1</v>
      </c>
      <c r="AG31" s="10">
        <v>63.9</v>
      </c>
      <c r="AH31" s="10">
        <v>77.599999999999994</v>
      </c>
      <c r="AJ31" s="10">
        <v>44.4</v>
      </c>
      <c r="AK31" s="10">
        <v>67.5</v>
      </c>
      <c r="AN31" s="10">
        <v>40.5</v>
      </c>
      <c r="AO31" s="10">
        <v>17.5</v>
      </c>
      <c r="AP31" s="10">
        <v>18.3</v>
      </c>
      <c r="AQ31" s="10">
        <v>61.7</v>
      </c>
      <c r="AR31" s="10">
        <v>22.1</v>
      </c>
      <c r="AS31" s="10">
        <v>45.1</v>
      </c>
      <c r="AT31" s="10">
        <v>70.599999999999994</v>
      </c>
      <c r="AU31" s="10">
        <v>17.2</v>
      </c>
      <c r="AV31" s="10">
        <v>101.7</v>
      </c>
      <c r="AW31" s="10">
        <v>68.7</v>
      </c>
      <c r="AX31" s="10">
        <v>68.599999999999994</v>
      </c>
      <c r="AY31" s="10">
        <v>74.2</v>
      </c>
      <c r="BA31" s="10">
        <v>50.9</v>
      </c>
      <c r="BB31" s="10">
        <v>51.6</v>
      </c>
      <c r="BE31" s="10">
        <v>38.200000000000003</v>
      </c>
      <c r="BF31" s="10">
        <v>28.4</v>
      </c>
      <c r="BG31" s="10">
        <v>24.4</v>
      </c>
      <c r="BH31" s="10">
        <v>39.299999999999997</v>
      </c>
      <c r="BI31" s="10">
        <v>55.1</v>
      </c>
      <c r="BJ31" s="10">
        <v>43.2</v>
      </c>
      <c r="BK31" s="10">
        <v>39.6</v>
      </c>
      <c r="BL31" s="10">
        <v>52.2</v>
      </c>
      <c r="BM31" s="10">
        <v>88.1</v>
      </c>
      <c r="BN31" s="10">
        <v>72.5</v>
      </c>
      <c r="BO31" s="10">
        <v>69.3</v>
      </c>
      <c r="BP31" s="10">
        <v>83.4</v>
      </c>
    </row>
    <row r="32" spans="2:71" s="10" customFormat="1" ht="18.75" x14ac:dyDescent="0.3">
      <c r="B32" s="12" t="s">
        <v>63</v>
      </c>
      <c r="C32" s="10" t="s">
        <v>68</v>
      </c>
      <c r="D32" s="10">
        <v>76</v>
      </c>
      <c r="AN32" s="10">
        <v>51.9</v>
      </c>
      <c r="AO32" s="10">
        <v>47.9</v>
      </c>
      <c r="AP32" s="10">
        <v>20.399999999999999</v>
      </c>
      <c r="AQ32" s="10">
        <v>61.5</v>
      </c>
      <c r="AR32" s="10">
        <v>63.9</v>
      </c>
      <c r="AS32" s="10">
        <v>46.7</v>
      </c>
      <c r="AT32" s="10">
        <v>50.8</v>
      </c>
      <c r="AU32" s="10">
        <v>63.5</v>
      </c>
      <c r="AV32" s="10">
        <v>86.2</v>
      </c>
      <c r="AW32" s="10">
        <v>74.7</v>
      </c>
      <c r="AX32" s="10">
        <v>59.6</v>
      </c>
      <c r="AY32" s="10">
        <v>82.9</v>
      </c>
      <c r="BA32" s="10">
        <v>53.1</v>
      </c>
      <c r="BB32" s="10">
        <v>69.400000000000006</v>
      </c>
    </row>
    <row r="33" spans="2:71" s="10" customFormat="1" ht="18.75" x14ac:dyDescent="0.3">
      <c r="B33" s="10" t="s">
        <v>76</v>
      </c>
      <c r="C33" s="10" t="s">
        <v>67</v>
      </c>
      <c r="D33" s="10">
        <v>62</v>
      </c>
      <c r="F33" s="10">
        <v>44.1</v>
      </c>
      <c r="G33" s="10">
        <v>31.6</v>
      </c>
      <c r="H33" s="10">
        <v>23.3</v>
      </c>
      <c r="I33" s="10">
        <v>65.7</v>
      </c>
      <c r="J33" s="10">
        <v>35.799999999999997</v>
      </c>
      <c r="K33" s="10">
        <v>56.6</v>
      </c>
      <c r="L33" s="10">
        <v>72.400000000000006</v>
      </c>
      <c r="M33" s="10">
        <v>34.6</v>
      </c>
      <c r="N33" s="10">
        <v>90.5</v>
      </c>
      <c r="O33" s="10">
        <v>69.8</v>
      </c>
      <c r="P33" s="10">
        <v>71.900000000000006</v>
      </c>
      <c r="Q33" s="10">
        <v>65.900000000000006</v>
      </c>
      <c r="S33" s="10">
        <v>40.700000000000003</v>
      </c>
      <c r="T33" s="10">
        <v>62.4</v>
      </c>
      <c r="W33" s="10">
        <v>46.2</v>
      </c>
      <c r="X33" s="10">
        <v>46.9</v>
      </c>
      <c r="Y33" s="10">
        <v>21.9</v>
      </c>
      <c r="Z33" s="10">
        <v>51.1</v>
      </c>
      <c r="AA33" s="10">
        <v>62.3</v>
      </c>
      <c r="AB33" s="10">
        <v>47.6</v>
      </c>
      <c r="AC33" s="10">
        <v>53.7</v>
      </c>
      <c r="AD33" s="10">
        <v>57.6</v>
      </c>
      <c r="AE33" s="10">
        <v>93.4</v>
      </c>
      <c r="AF33" s="10">
        <v>70.3</v>
      </c>
      <c r="AG33" s="10">
        <v>77.599999999999994</v>
      </c>
      <c r="AH33" s="10">
        <v>70.400000000000006</v>
      </c>
      <c r="AJ33" s="10">
        <v>54.6</v>
      </c>
      <c r="AK33" s="10">
        <v>72.599999999999994</v>
      </c>
      <c r="AN33" s="10">
        <v>48.7</v>
      </c>
      <c r="AO33" s="10">
        <v>31.1</v>
      </c>
      <c r="AP33" s="10">
        <v>21.6</v>
      </c>
      <c r="AQ33" s="10">
        <v>68.400000000000006</v>
      </c>
      <c r="AR33" s="10">
        <v>34.799999999999997</v>
      </c>
      <c r="AS33" s="10">
        <v>46.2</v>
      </c>
      <c r="AT33" s="10">
        <v>77.2</v>
      </c>
      <c r="AU33" s="10">
        <v>33.6</v>
      </c>
      <c r="AV33" s="10">
        <v>78.3</v>
      </c>
      <c r="AW33" s="10">
        <v>55.8</v>
      </c>
      <c r="AX33" s="10">
        <v>74.400000000000006</v>
      </c>
      <c r="AY33" s="10">
        <v>66.3</v>
      </c>
      <c r="BA33" s="10">
        <v>51.9</v>
      </c>
      <c r="BB33" s="10">
        <v>63.2</v>
      </c>
      <c r="BE33" s="10">
        <v>56.1</v>
      </c>
      <c r="BF33" s="10">
        <v>44.3</v>
      </c>
      <c r="BG33" s="10">
        <v>21.2</v>
      </c>
      <c r="BH33" s="10">
        <v>43.8</v>
      </c>
      <c r="BI33" s="10">
        <v>78.7</v>
      </c>
      <c r="BJ33" s="10">
        <v>43.9</v>
      </c>
      <c r="BK33" s="10">
        <v>38.4</v>
      </c>
      <c r="BL33" s="10">
        <v>84.8</v>
      </c>
      <c r="BM33" s="10">
        <v>80.7</v>
      </c>
      <c r="BN33" s="10">
        <v>56.9</v>
      </c>
      <c r="BO33" s="10">
        <v>67.099999999999994</v>
      </c>
      <c r="BP33" s="10">
        <v>73.099999999999994</v>
      </c>
      <c r="BR33" s="10">
        <v>67.7</v>
      </c>
      <c r="BS33" s="10">
        <v>82.3</v>
      </c>
    </row>
    <row r="34" spans="2:71" s="10" customFormat="1" ht="18.75" x14ac:dyDescent="0.3">
      <c r="B34" s="10" t="s">
        <v>77</v>
      </c>
      <c r="C34" s="10" t="s">
        <v>67</v>
      </c>
      <c r="D34" s="10">
        <v>62</v>
      </c>
      <c r="F34" s="10">
        <v>51.7</v>
      </c>
      <c r="G34" s="10">
        <v>33.799999999999997</v>
      </c>
      <c r="H34" s="10">
        <v>23.5</v>
      </c>
      <c r="I34" s="10">
        <v>68.3</v>
      </c>
      <c r="J34" s="10">
        <v>34.700000000000003</v>
      </c>
      <c r="K34" s="10">
        <v>54.3</v>
      </c>
      <c r="L34" s="10">
        <v>77.2</v>
      </c>
      <c r="M34" s="10">
        <v>36.4</v>
      </c>
      <c r="N34" s="10">
        <v>96.9</v>
      </c>
      <c r="O34" s="10">
        <v>74.400000000000006</v>
      </c>
      <c r="P34" s="10">
        <v>62.4</v>
      </c>
      <c r="Q34" s="10">
        <v>71.599999999999994</v>
      </c>
      <c r="S34" s="10">
        <v>40.1</v>
      </c>
      <c r="T34" s="10">
        <v>57.3</v>
      </c>
      <c r="W34" s="10">
        <v>41.5</v>
      </c>
      <c r="X34" s="10">
        <v>42.8</v>
      </c>
      <c r="Y34" s="10">
        <v>24.6</v>
      </c>
      <c r="Z34" s="10">
        <v>52.3</v>
      </c>
      <c r="AA34" s="10">
        <v>53.8</v>
      </c>
      <c r="AB34" s="10">
        <v>38.299999999999997</v>
      </c>
      <c r="AC34" s="10">
        <v>48.4</v>
      </c>
      <c r="AD34" s="10">
        <v>58.2</v>
      </c>
      <c r="AE34" s="10">
        <v>84.8</v>
      </c>
      <c r="AF34" s="10">
        <v>69.8</v>
      </c>
      <c r="AG34" s="10">
        <v>58.4</v>
      </c>
      <c r="AH34" s="10">
        <v>75.400000000000006</v>
      </c>
      <c r="AJ34" s="10">
        <v>59.8</v>
      </c>
      <c r="AK34" s="10">
        <v>97.9</v>
      </c>
      <c r="AN34" s="10">
        <v>59.6</v>
      </c>
      <c r="AO34" s="10">
        <v>33.5</v>
      </c>
      <c r="AP34" s="10">
        <v>17.8</v>
      </c>
      <c r="AQ34" s="10">
        <v>69.900000000000006</v>
      </c>
      <c r="AR34" s="10">
        <v>35.9</v>
      </c>
      <c r="AS34" s="10">
        <v>52.2</v>
      </c>
      <c r="AT34" s="10">
        <v>66.099999999999994</v>
      </c>
      <c r="AU34" s="10">
        <v>37.799999999999997</v>
      </c>
      <c r="AV34" s="10">
        <v>77.599999999999994</v>
      </c>
      <c r="AW34" s="10">
        <v>57.5</v>
      </c>
      <c r="AX34" s="10">
        <v>82.7</v>
      </c>
      <c r="AY34" s="10">
        <v>75.2</v>
      </c>
      <c r="BA34" s="10">
        <v>74.2</v>
      </c>
      <c r="BB34" s="10">
        <v>71.3</v>
      </c>
      <c r="BE34" s="10">
        <v>51.9</v>
      </c>
      <c r="BF34" s="10">
        <v>66.8</v>
      </c>
      <c r="BG34" s="10">
        <v>20.2</v>
      </c>
      <c r="BH34" s="10">
        <v>45.8</v>
      </c>
      <c r="BI34" s="10">
        <v>66.099999999999994</v>
      </c>
      <c r="BJ34" s="10">
        <v>31.6</v>
      </c>
      <c r="BK34" s="10">
        <v>47.4</v>
      </c>
      <c r="BL34" s="10">
        <v>63.5</v>
      </c>
      <c r="BM34" s="10">
        <v>71.3</v>
      </c>
      <c r="BN34" s="10">
        <v>77.3</v>
      </c>
      <c r="BO34" s="10">
        <v>67.3</v>
      </c>
      <c r="BP34" s="10">
        <v>82.5</v>
      </c>
      <c r="BR34" s="10">
        <v>78.2</v>
      </c>
      <c r="BS34" s="10">
        <v>64.900000000000006</v>
      </c>
    </row>
    <row r="35" spans="2:71" s="10" customFormat="1" ht="18.75" x14ac:dyDescent="0.3">
      <c r="B35" s="10" t="s">
        <v>78</v>
      </c>
      <c r="C35" s="10" t="s">
        <v>68</v>
      </c>
      <c r="D35" s="10">
        <v>28</v>
      </c>
      <c r="F35" s="10">
        <v>34.700000000000003</v>
      </c>
      <c r="G35" s="10">
        <v>18.3</v>
      </c>
      <c r="H35" s="10">
        <v>21.9</v>
      </c>
      <c r="I35" s="10">
        <v>55.4</v>
      </c>
      <c r="J35" s="10">
        <v>29.2</v>
      </c>
      <c r="K35" s="10">
        <v>34.1</v>
      </c>
      <c r="L35" s="10">
        <v>61.1</v>
      </c>
      <c r="M35" s="10">
        <v>33.700000000000003</v>
      </c>
      <c r="N35" s="10">
        <v>62.9</v>
      </c>
      <c r="O35" s="10">
        <v>57.4</v>
      </c>
      <c r="P35" s="10">
        <v>58.9</v>
      </c>
      <c r="Q35" s="10">
        <v>67.7</v>
      </c>
      <c r="S35" s="10">
        <v>68.3</v>
      </c>
      <c r="T35" s="10">
        <v>69.8</v>
      </c>
      <c r="AN35" s="10">
        <v>32.5</v>
      </c>
      <c r="AO35" s="10">
        <v>30.3</v>
      </c>
      <c r="AP35" s="10">
        <v>22.5</v>
      </c>
      <c r="AQ35" s="10">
        <v>60.5</v>
      </c>
      <c r="AR35" s="10">
        <v>34.299999999999997</v>
      </c>
      <c r="AS35" s="10">
        <v>39.799999999999997</v>
      </c>
      <c r="AT35" s="10">
        <v>66.2</v>
      </c>
      <c r="AU35" s="10">
        <v>19.399999999999999</v>
      </c>
      <c r="AV35" s="10">
        <v>86.4</v>
      </c>
      <c r="AW35" s="10">
        <v>81.099999999999994</v>
      </c>
      <c r="AX35" s="10">
        <v>91.2</v>
      </c>
      <c r="AY35" s="10">
        <v>67.2</v>
      </c>
      <c r="BA35" s="10">
        <v>94.3</v>
      </c>
      <c r="BB35" s="10">
        <v>56.4</v>
      </c>
      <c r="BE35" s="10">
        <v>43.8</v>
      </c>
      <c r="BF35" s="10">
        <v>32.5</v>
      </c>
      <c r="BG35" s="10">
        <v>26.7</v>
      </c>
      <c r="BH35" s="10">
        <v>57.9</v>
      </c>
      <c r="BI35" s="10">
        <v>32.200000000000003</v>
      </c>
      <c r="BJ35" s="10">
        <v>44.5</v>
      </c>
      <c r="BK35" s="10">
        <v>59.1</v>
      </c>
      <c r="BL35" s="10">
        <v>26.8</v>
      </c>
      <c r="BM35" s="10">
        <v>87.2</v>
      </c>
      <c r="BN35" s="10">
        <v>79.099999999999994</v>
      </c>
      <c r="BO35" s="10">
        <v>83.7</v>
      </c>
      <c r="BP35" s="10">
        <v>65.400000000000006</v>
      </c>
      <c r="BR35" s="10">
        <v>76.8</v>
      </c>
      <c r="BS35" s="10">
        <v>85.6</v>
      </c>
    </row>
    <row r="36" spans="2:71" s="10" customFormat="1" ht="18.75" x14ac:dyDescent="0.3">
      <c r="B36" s="12" t="s">
        <v>79</v>
      </c>
      <c r="C36" s="10" t="s">
        <v>67</v>
      </c>
      <c r="D36" s="10">
        <v>60</v>
      </c>
      <c r="F36" s="10">
        <v>48.4</v>
      </c>
      <c r="G36" s="10">
        <v>54.2</v>
      </c>
      <c r="H36" s="10">
        <v>33.299999999999997</v>
      </c>
      <c r="I36" s="10">
        <v>58.2</v>
      </c>
      <c r="J36" s="10">
        <v>57.5</v>
      </c>
      <c r="K36" s="10">
        <v>41.2</v>
      </c>
      <c r="L36" s="10">
        <v>69.2</v>
      </c>
      <c r="M36" s="10">
        <v>56.5</v>
      </c>
      <c r="N36" s="10">
        <v>82.4</v>
      </c>
      <c r="O36" s="10">
        <v>116.3</v>
      </c>
      <c r="P36" s="10">
        <v>76.400000000000006</v>
      </c>
      <c r="Q36" s="10">
        <v>85.6</v>
      </c>
      <c r="S36" s="10">
        <v>89.8</v>
      </c>
      <c r="T36" s="10">
        <v>76.3</v>
      </c>
      <c r="W36" s="10">
        <v>56.8</v>
      </c>
      <c r="X36" s="10">
        <v>41.1</v>
      </c>
      <c r="Y36" s="10">
        <v>23.2</v>
      </c>
      <c r="Z36" s="10">
        <v>57.9</v>
      </c>
      <c r="AA36" s="10">
        <v>70.2</v>
      </c>
      <c r="AB36" s="10">
        <v>46.4</v>
      </c>
      <c r="AC36" s="10">
        <v>67.8</v>
      </c>
      <c r="AD36" s="10">
        <v>65.5</v>
      </c>
      <c r="AE36" s="10">
        <v>85.2</v>
      </c>
      <c r="AF36" s="10">
        <v>60.1</v>
      </c>
      <c r="AG36" s="10">
        <v>65.8</v>
      </c>
      <c r="AH36" s="10">
        <v>71.8</v>
      </c>
      <c r="AJ36" s="10">
        <v>86.1</v>
      </c>
      <c r="AK36" s="10">
        <v>65.7</v>
      </c>
      <c r="AN36" s="12">
        <v>78.5</v>
      </c>
      <c r="AO36" s="10">
        <v>27.6</v>
      </c>
      <c r="AP36" s="10">
        <v>18.8</v>
      </c>
      <c r="AQ36" s="10">
        <v>75</v>
      </c>
      <c r="AR36" s="10">
        <v>50.9</v>
      </c>
      <c r="AS36" s="10">
        <v>46.5</v>
      </c>
      <c r="AT36" s="10">
        <v>88.9</v>
      </c>
      <c r="AU36" s="10">
        <v>48.3</v>
      </c>
      <c r="AV36" s="10">
        <v>89.3</v>
      </c>
      <c r="AW36" s="10">
        <v>78.599999999999994</v>
      </c>
      <c r="AX36" s="10">
        <v>64.7</v>
      </c>
      <c r="AY36" s="10">
        <v>72.099999999999994</v>
      </c>
      <c r="BA36" s="10">
        <v>84.8</v>
      </c>
      <c r="BB36" s="10">
        <v>105.6</v>
      </c>
      <c r="BE36" s="10">
        <v>47.3</v>
      </c>
      <c r="BF36" s="10">
        <v>72.599999999999994</v>
      </c>
      <c r="BG36" s="10">
        <v>25.1</v>
      </c>
      <c r="BH36" s="10">
        <v>34.6</v>
      </c>
      <c r="BI36" s="10">
        <v>83</v>
      </c>
      <c r="BJ36" s="10">
        <v>59.3</v>
      </c>
      <c r="BK36" s="10">
        <v>41.3</v>
      </c>
      <c r="BL36" s="10">
        <v>83.4</v>
      </c>
      <c r="BM36" s="10">
        <v>104.6</v>
      </c>
      <c r="BN36" s="10">
        <v>91.9</v>
      </c>
      <c r="BO36" s="10">
        <v>63.5</v>
      </c>
      <c r="BP36" s="10">
        <v>79.400000000000006</v>
      </c>
      <c r="BR36" s="10">
        <v>58.5</v>
      </c>
      <c r="BS36" s="10" t="s">
        <v>80</v>
      </c>
    </row>
    <row r="37" spans="2:71" s="10" customFormat="1" ht="18.75" x14ac:dyDescent="0.3">
      <c r="B37" s="12" t="s">
        <v>81</v>
      </c>
      <c r="C37" s="10" t="s">
        <v>67</v>
      </c>
      <c r="D37" s="10">
        <v>47</v>
      </c>
    </row>
    <row r="38" spans="2:71" s="10" customFormat="1" ht="18.75" x14ac:dyDescent="0.3">
      <c r="B38" s="10" t="s">
        <v>65</v>
      </c>
      <c r="C38" s="10" t="s">
        <v>67</v>
      </c>
      <c r="D38" s="10">
        <v>30</v>
      </c>
      <c r="F38" s="10">
        <v>35.799999999999997</v>
      </c>
      <c r="G38" s="10">
        <v>37.4</v>
      </c>
      <c r="H38" s="10">
        <v>20.399999999999999</v>
      </c>
      <c r="I38" s="10">
        <v>52.5</v>
      </c>
      <c r="J38" s="10">
        <v>38.200000000000003</v>
      </c>
      <c r="K38" s="10">
        <v>40.9</v>
      </c>
      <c r="L38" s="10">
        <v>63.6</v>
      </c>
      <c r="M38" s="10">
        <v>38.200000000000003</v>
      </c>
      <c r="N38" s="10">
        <v>77.900000000000006</v>
      </c>
      <c r="O38" s="10">
        <v>62.9</v>
      </c>
      <c r="P38" s="10">
        <v>65.900000000000006</v>
      </c>
      <c r="Q38" s="10">
        <v>69.400000000000006</v>
      </c>
      <c r="S38" s="10">
        <v>54.9</v>
      </c>
      <c r="T38" s="10">
        <v>60.8</v>
      </c>
      <c r="W38" s="10">
        <v>34.5</v>
      </c>
      <c r="X38" s="10">
        <v>39.4</v>
      </c>
      <c r="Y38" s="10">
        <v>15.9</v>
      </c>
      <c r="Z38" s="10">
        <v>51.1</v>
      </c>
      <c r="AA38" s="10">
        <v>47.3</v>
      </c>
      <c r="AB38" s="10">
        <v>62.9</v>
      </c>
      <c r="AC38" s="10">
        <v>50.5</v>
      </c>
      <c r="AD38" s="10">
        <v>45.4</v>
      </c>
      <c r="AE38" s="10">
        <v>84.2</v>
      </c>
      <c r="AF38" s="10">
        <v>56.6</v>
      </c>
      <c r="AG38" s="10">
        <v>59.7</v>
      </c>
      <c r="AH38" s="10">
        <v>76</v>
      </c>
      <c r="AJ38" s="10">
        <v>60.5</v>
      </c>
      <c r="AK38" s="10">
        <v>66.900000000000006</v>
      </c>
      <c r="AN38" s="10">
        <v>36.1</v>
      </c>
      <c r="AO38" s="10">
        <v>17.399999999999999</v>
      </c>
      <c r="AP38" s="10">
        <v>13.8</v>
      </c>
      <c r="AQ38" s="10">
        <v>70.8</v>
      </c>
      <c r="AR38" s="10">
        <v>32.9</v>
      </c>
      <c r="AS38" s="10">
        <v>55.8</v>
      </c>
      <c r="AT38" s="10">
        <v>70.2</v>
      </c>
      <c r="AU38" s="10">
        <v>25.1</v>
      </c>
      <c r="AV38" s="10">
        <v>98.3</v>
      </c>
      <c r="AW38" s="10">
        <v>46.4</v>
      </c>
      <c r="AX38" s="10">
        <v>77.5</v>
      </c>
      <c r="AY38" s="10">
        <v>68.3</v>
      </c>
      <c r="BA38" s="10">
        <v>74.099999999999994</v>
      </c>
      <c r="BB38" s="10">
        <v>80.8</v>
      </c>
      <c r="BE38" s="10">
        <v>38.1</v>
      </c>
      <c r="BF38" s="10">
        <v>52.8</v>
      </c>
      <c r="BG38" s="10">
        <v>16.100000000000001</v>
      </c>
      <c r="BH38" s="10">
        <v>54.3</v>
      </c>
      <c r="BI38" s="10">
        <v>52</v>
      </c>
      <c r="BJ38" s="10">
        <v>36.5</v>
      </c>
      <c r="BK38" s="10">
        <v>54.8</v>
      </c>
      <c r="BL38" s="10">
        <v>48.5</v>
      </c>
      <c r="BM38" s="10">
        <v>62.8</v>
      </c>
      <c r="BN38" s="10">
        <v>50.5</v>
      </c>
      <c r="BO38" s="10">
        <v>55.7</v>
      </c>
      <c r="BP38" s="10">
        <v>80.099999999999994</v>
      </c>
      <c r="BR38" s="10">
        <v>73.400000000000006</v>
      </c>
      <c r="BS38" s="10">
        <v>56.5</v>
      </c>
    </row>
    <row r="39" spans="2:71" s="10" customFormat="1" ht="18.75" x14ac:dyDescent="0.3">
      <c r="B39" s="12" t="s">
        <v>82</v>
      </c>
      <c r="C39" s="10" t="s">
        <v>68</v>
      </c>
      <c r="D39" s="10">
        <v>67</v>
      </c>
      <c r="F39" s="10">
        <v>51.7</v>
      </c>
      <c r="G39" s="10">
        <v>26.3</v>
      </c>
      <c r="H39" s="10">
        <v>17.399999999999999</v>
      </c>
      <c r="I39" s="10">
        <v>57.8</v>
      </c>
      <c r="J39" s="10">
        <v>36.5</v>
      </c>
      <c r="K39" s="10">
        <v>45.2</v>
      </c>
      <c r="L39" s="10">
        <v>64.900000000000006</v>
      </c>
      <c r="M39" s="10">
        <v>24.3</v>
      </c>
      <c r="N39" s="10">
        <v>80.5</v>
      </c>
      <c r="O39" s="10">
        <v>78.5</v>
      </c>
      <c r="P39" s="10">
        <v>80.099999999999994</v>
      </c>
      <c r="Q39" s="10">
        <v>77.2</v>
      </c>
      <c r="S39" s="10">
        <v>53.8</v>
      </c>
      <c r="T39" s="10">
        <v>40.299999999999997</v>
      </c>
      <c r="AN39" s="10">
        <v>48.9</v>
      </c>
      <c r="AO39" s="10">
        <v>65.599999999999994</v>
      </c>
      <c r="AP39" s="10">
        <v>19.399999999999999</v>
      </c>
      <c r="AQ39" s="10">
        <v>54.2</v>
      </c>
      <c r="AR39" s="10">
        <v>58.3</v>
      </c>
      <c r="AS39" s="10">
        <v>61.8</v>
      </c>
      <c r="AT39" s="10">
        <v>51.2</v>
      </c>
      <c r="AU39" s="10">
        <v>47.2</v>
      </c>
      <c r="AV39" s="10">
        <v>88.9</v>
      </c>
      <c r="AW39" s="10">
        <v>83.4</v>
      </c>
      <c r="AX39" s="10">
        <v>80.099999999999994</v>
      </c>
      <c r="AY39" s="10">
        <v>85.7</v>
      </c>
      <c r="BA39" s="10">
        <v>85.7</v>
      </c>
      <c r="BB39" s="10">
        <v>88.2</v>
      </c>
    </row>
    <row r="40" spans="2:71" s="10" customFormat="1" ht="18.75" x14ac:dyDescent="0.3">
      <c r="B40" s="12" t="s">
        <v>83</v>
      </c>
      <c r="C40" s="10" t="s">
        <v>67</v>
      </c>
      <c r="D40" s="10">
        <v>69</v>
      </c>
      <c r="F40" s="10">
        <v>61.9</v>
      </c>
      <c r="G40" s="10">
        <v>36.6</v>
      </c>
      <c r="H40" s="10">
        <v>21.3</v>
      </c>
      <c r="I40" s="10">
        <v>56.6</v>
      </c>
      <c r="J40" s="10">
        <v>45.6</v>
      </c>
      <c r="K40" s="10">
        <v>51.2</v>
      </c>
      <c r="L40" s="10">
        <v>66.2</v>
      </c>
      <c r="M40" s="10">
        <v>26.9</v>
      </c>
      <c r="N40" s="10">
        <v>90.2</v>
      </c>
      <c r="O40" s="10">
        <v>97.2</v>
      </c>
      <c r="P40" s="10">
        <v>95.1</v>
      </c>
      <c r="Q40" s="10">
        <v>81.900000000000006</v>
      </c>
      <c r="S40" s="10">
        <v>28.2</v>
      </c>
      <c r="T40" s="10">
        <v>47.7</v>
      </c>
      <c r="AN40" s="10">
        <v>68.3</v>
      </c>
      <c r="AO40" s="10">
        <v>29</v>
      </c>
      <c r="AP40" s="10">
        <v>10.199999999999999</v>
      </c>
      <c r="AQ40" s="10">
        <v>79.3</v>
      </c>
      <c r="AR40" s="10">
        <v>45.5</v>
      </c>
      <c r="AS40" s="10">
        <v>57.1</v>
      </c>
      <c r="AT40" s="10">
        <v>98.6</v>
      </c>
      <c r="AU40" s="10">
        <v>23.5</v>
      </c>
      <c r="AV40" s="10">
        <v>99.8</v>
      </c>
      <c r="AW40" s="10">
        <v>39.1</v>
      </c>
      <c r="AX40" s="10">
        <v>84.6</v>
      </c>
      <c r="AY40" s="10">
        <v>72.400000000000006</v>
      </c>
      <c r="BA40" s="10">
        <v>35.4</v>
      </c>
    </row>
    <row r="41" spans="2:71" s="10" customFormat="1" ht="18.75" x14ac:dyDescent="0.3">
      <c r="B41" s="45" t="s">
        <v>84</v>
      </c>
      <c r="C41" s="10" t="s">
        <v>50</v>
      </c>
      <c r="D41" s="10">
        <v>45</v>
      </c>
      <c r="F41" s="10">
        <v>37.9</v>
      </c>
      <c r="G41" s="10">
        <v>28.2</v>
      </c>
      <c r="H41" s="10">
        <v>10.3</v>
      </c>
      <c r="I41" s="10">
        <v>51.2</v>
      </c>
      <c r="J41" s="10">
        <v>35.299999999999997</v>
      </c>
      <c r="K41" s="10">
        <v>41.8</v>
      </c>
      <c r="L41" s="10">
        <v>53.2</v>
      </c>
      <c r="M41" s="10">
        <v>44.5</v>
      </c>
      <c r="N41" s="10">
        <v>75.099999999999994</v>
      </c>
      <c r="O41" s="10">
        <v>87.1</v>
      </c>
      <c r="P41" s="10">
        <v>66.8</v>
      </c>
      <c r="Q41" s="10">
        <v>76.900000000000006</v>
      </c>
      <c r="S41" s="10">
        <v>42.4</v>
      </c>
      <c r="T41" s="10">
        <v>63.2</v>
      </c>
      <c r="AN41" s="10">
        <v>39.200000000000003</v>
      </c>
      <c r="AO41" s="10">
        <v>17.3</v>
      </c>
      <c r="AP41" s="10">
        <v>12.2</v>
      </c>
      <c r="AQ41" s="10">
        <v>59.2</v>
      </c>
      <c r="AR41" s="10">
        <v>29.3</v>
      </c>
      <c r="AS41" s="10">
        <v>41.8</v>
      </c>
      <c r="AT41" s="10">
        <v>65.2</v>
      </c>
      <c r="AU41" s="10">
        <v>30.6</v>
      </c>
      <c r="AV41" s="10">
        <v>70.5</v>
      </c>
      <c r="AW41" s="10">
        <v>83.9</v>
      </c>
      <c r="AX41" s="10">
        <v>72.099999999999994</v>
      </c>
      <c r="AY41" s="10">
        <v>71.3</v>
      </c>
      <c r="BA41" s="10">
        <v>86.9</v>
      </c>
      <c r="BB41" s="10">
        <v>55.1</v>
      </c>
    </row>
  </sheetData>
  <mergeCells count="110">
    <mergeCell ref="A1:E4"/>
    <mergeCell ref="EB4:EC5"/>
    <mergeCell ref="ED4:EE5"/>
    <mergeCell ref="EF4:EG5"/>
    <mergeCell ref="DB5:DC5"/>
    <mergeCell ref="DD5:DE5"/>
    <mergeCell ref="DF5:DG5"/>
    <mergeCell ref="DH5:DI5"/>
    <mergeCell ref="DJ5:DK5"/>
    <mergeCell ref="DL5:DM5"/>
    <mergeCell ref="DN5:DO5"/>
    <mergeCell ref="DP5:DQ5"/>
    <mergeCell ref="DR5:DS5"/>
    <mergeCell ref="CZ4:DA5"/>
    <mergeCell ref="CT3:DA3"/>
    <mergeCell ref="BV2:DA2"/>
    <mergeCell ref="DB2:EG2"/>
    <mergeCell ref="DB3:DS3"/>
    <mergeCell ref="DT3:DY3"/>
    <mergeCell ref="DZ3:EG3"/>
    <mergeCell ref="DB4:DG4"/>
    <mergeCell ref="DH4:DM4"/>
    <mergeCell ref="DN4:DS4"/>
    <mergeCell ref="DT4:DU5"/>
    <mergeCell ref="BV1:EG1"/>
    <mergeCell ref="CH4:CM4"/>
    <mergeCell ref="CH5:CI5"/>
    <mergeCell ref="CJ5:CK5"/>
    <mergeCell ref="CL5:CM5"/>
    <mergeCell ref="BV3:CM3"/>
    <mergeCell ref="BX5:BY5"/>
    <mergeCell ref="BZ5:CA5"/>
    <mergeCell ref="BV4:CA4"/>
    <mergeCell ref="CB4:CG4"/>
    <mergeCell ref="CB5:CC5"/>
    <mergeCell ref="CD5:CE5"/>
    <mergeCell ref="CF5:CG5"/>
    <mergeCell ref="DV4:DW5"/>
    <mergeCell ref="DX4:DY5"/>
    <mergeCell ref="DZ4:EA5"/>
    <mergeCell ref="CT4:CU5"/>
    <mergeCell ref="CV4:CW5"/>
    <mergeCell ref="CX4:CY5"/>
    <mergeCell ref="CN4:CO5"/>
    <mergeCell ref="CP4:CQ5"/>
    <mergeCell ref="CN3:CS3"/>
    <mergeCell ref="CR4:CS5"/>
    <mergeCell ref="BQ4:BQ5"/>
    <mergeCell ref="BR4:BR5"/>
    <mergeCell ref="BS4:BS5"/>
    <mergeCell ref="BT4:BT5"/>
    <mergeCell ref="BV5:BW5"/>
    <mergeCell ref="BH4:BJ4"/>
    <mergeCell ref="BK4:BM4"/>
    <mergeCell ref="BN4:BN5"/>
    <mergeCell ref="BO4:BO5"/>
    <mergeCell ref="BP4:BP5"/>
    <mergeCell ref="BA4:BA5"/>
    <mergeCell ref="BB4:BB5"/>
    <mergeCell ref="BC4:BC5"/>
    <mergeCell ref="BE4:BG4"/>
    <mergeCell ref="AQ4:AS4"/>
    <mergeCell ref="AT4:AV4"/>
    <mergeCell ref="AW4:AW5"/>
    <mergeCell ref="AX4:AX5"/>
    <mergeCell ref="AY4:AY5"/>
    <mergeCell ref="F1:AM1"/>
    <mergeCell ref="AN1:BU1"/>
    <mergeCell ref="AN2:BD2"/>
    <mergeCell ref="BE2:BU2"/>
    <mergeCell ref="AN3:AV3"/>
    <mergeCell ref="AW3:AY3"/>
    <mergeCell ref="AZ3:BC3"/>
    <mergeCell ref="BD3:BD5"/>
    <mergeCell ref="BE3:BM3"/>
    <mergeCell ref="BN3:BP3"/>
    <mergeCell ref="BQ3:BT3"/>
    <mergeCell ref="BU3:BU5"/>
    <mergeCell ref="AN4:AP4"/>
    <mergeCell ref="AF3:AH3"/>
    <mergeCell ref="AI3:AL3"/>
    <mergeCell ref="AM3:AM5"/>
    <mergeCell ref="W4:Y4"/>
    <mergeCell ref="Z4:AB4"/>
    <mergeCell ref="AC4:AE4"/>
    <mergeCell ref="AF4:AF5"/>
    <mergeCell ref="AG4:AG5"/>
    <mergeCell ref="AH4:AH5"/>
    <mergeCell ref="AI4:AI5"/>
    <mergeCell ref="AZ4:AZ5"/>
    <mergeCell ref="W2:AM2"/>
    <mergeCell ref="W3:AE3"/>
    <mergeCell ref="R3:U3"/>
    <mergeCell ref="F4:H4"/>
    <mergeCell ref="I4:K4"/>
    <mergeCell ref="L4:N4"/>
    <mergeCell ref="F3:N3"/>
    <mergeCell ref="F2:V2"/>
    <mergeCell ref="O4:O5"/>
    <mergeCell ref="AJ4:AJ5"/>
    <mergeCell ref="AK4:AK5"/>
    <mergeCell ref="AL4:AL5"/>
    <mergeCell ref="P4:P5"/>
    <mergeCell ref="Q4:Q5"/>
    <mergeCell ref="R4:R5"/>
    <mergeCell ref="S4:S5"/>
    <mergeCell ref="T4:T5"/>
    <mergeCell ref="U4:U5"/>
    <mergeCell ref="V3:V5"/>
    <mergeCell ref="O3:Q3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1</cp:lastModifiedBy>
  <dcterms:created xsi:type="dcterms:W3CDTF">2015-06-05T18:19:34Z</dcterms:created>
  <dcterms:modified xsi:type="dcterms:W3CDTF">2026-01-16T18:25:14Z</dcterms:modified>
</cp:coreProperties>
</file>